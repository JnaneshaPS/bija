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EXCEL\"/>
    </mc:Choice>
  </mc:AlternateContent>
  <xr:revisionPtr revIDLastSave="0" documentId="8_{007716AE-AD91-4976-B08B-CE8345BC0FA6}" xr6:coauthVersionLast="47" xr6:coauthVersionMax="47" xr10:uidLastSave="{00000000-0000-0000-0000-000000000000}"/>
  <bookViews>
    <workbookView xWindow="-108" yWindow="-108" windowWidth="23256" windowHeight="12456" activeTab="2" xr2:uid="{00000000-000D-0000-FFFF-FFFF00000000}"/>
  </bookViews>
  <sheets>
    <sheet name="Rectangular Dam" sheetId="1" r:id="rId1"/>
    <sheet name="Trapezoidal Dams" sheetId="2" r:id="rId2"/>
    <sheet name="Ex 19.6" sheetId="3" r:id="rId3"/>
    <sheet name="Sheet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8" i="3" l="1"/>
  <c r="P95" i="3"/>
  <c r="P92" i="3"/>
  <c r="N67" i="3"/>
  <c r="N70" i="3"/>
  <c r="N79" i="3" s="1"/>
  <c r="N63" i="3"/>
  <c r="L38" i="3"/>
  <c r="L41" i="3"/>
  <c r="L51" i="3" s="1"/>
  <c r="L35" i="3"/>
  <c r="L14" i="3"/>
  <c r="L11" i="3"/>
  <c r="L8" i="3"/>
  <c r="H15" i="2"/>
  <c r="H14" i="2"/>
  <c r="H11" i="2"/>
  <c r="H13" i="2"/>
  <c r="H12" i="2"/>
  <c r="H13" i="1"/>
  <c r="G14" i="1"/>
  <c r="H14" i="1" s="1"/>
  <c r="E15" i="1"/>
  <c r="E14" i="1"/>
  <c r="E13" i="1"/>
  <c r="D9" i="1"/>
  <c r="D8" i="1"/>
  <c r="D13" i="1" s="1"/>
  <c r="P96" i="3" l="1"/>
  <c r="P101" i="3"/>
  <c r="P104" i="3" s="1"/>
  <c r="P106" i="3" s="1"/>
  <c r="L53" i="3"/>
  <c r="N80" i="3"/>
  <c r="L17" i="3"/>
  <c r="L20" i="3" s="1"/>
  <c r="L22" i="3" s="1"/>
  <c r="N73" i="3"/>
  <c r="N75" i="3" s="1"/>
  <c r="N77" i="3" s="1"/>
  <c r="L52" i="3"/>
  <c r="N81" i="3"/>
  <c r="L44" i="3"/>
  <c r="G15" i="1"/>
  <c r="D10" i="1"/>
  <c r="D14" i="1" s="1"/>
  <c r="D11" i="1"/>
  <c r="D15" i="1" s="1"/>
  <c r="P105" i="3" l="1"/>
  <c r="L21" i="3"/>
  <c r="L47" i="3"/>
  <c r="L48" i="3" s="1"/>
  <c r="N76" i="3"/>
  <c r="H15" i="1"/>
  <c r="G16" i="1"/>
  <c r="L49" i="3" l="1"/>
  <c r="H16" i="1"/>
  <c r="G17" i="1"/>
  <c r="H17" i="1" l="1"/>
  <c r="G18" i="1"/>
  <c r="H18" i="1" l="1"/>
  <c r="G19" i="1"/>
  <c r="H19" i="1" s="1"/>
</calcChain>
</file>

<file path=xl/sharedStrings.xml><?xml version="1.0" encoding="utf-8"?>
<sst xmlns="http://schemas.openxmlformats.org/spreadsheetml/2006/main" count="240" uniqueCount="75">
  <si>
    <t>Given Details</t>
  </si>
  <si>
    <t xml:space="preserve">Weight of reatining walls </t>
  </si>
  <si>
    <t>H</t>
  </si>
  <si>
    <t>m</t>
  </si>
  <si>
    <t xml:space="preserve">Width of retaining wall </t>
  </si>
  <si>
    <t>b</t>
  </si>
  <si>
    <t>W</t>
  </si>
  <si>
    <t>KN/m3</t>
  </si>
  <si>
    <t xml:space="preserve">Total presure per meter length of the wall </t>
  </si>
  <si>
    <t>KN</t>
  </si>
  <si>
    <t xml:space="preserve">Points At which the resultant cuts the base  </t>
  </si>
  <si>
    <t>X</t>
  </si>
  <si>
    <t xml:space="preserve">Resultant thrust on the base of the wall per meter length </t>
  </si>
  <si>
    <t>R</t>
  </si>
  <si>
    <t>Masonry Dams</t>
  </si>
  <si>
    <t xml:space="preserve">Total Pressure per meter length of the wall </t>
  </si>
  <si>
    <t>Points Resultant at which the resultant cuts the base (from the mid-point of the wall)</t>
  </si>
  <si>
    <t xml:space="preserve">Resultant thrust on the base f the wall per meter length </t>
  </si>
  <si>
    <t>A retaining wall 6m high and 2.5m wide retains water up to its top. Find the total pressure per meter length of the wall and the point at which the resultant cuts the base. Also find the resultant thrust on the base of the wall per meter length. Assume weight of masonry as 23 KN/m</t>
  </si>
  <si>
    <t>Height</t>
  </si>
  <si>
    <t>pressure</t>
  </si>
  <si>
    <t>weight of water</t>
  </si>
  <si>
    <t>w</t>
  </si>
  <si>
    <t>kN/m3</t>
  </si>
  <si>
    <t>Water Pressure on Trapezoidal Dams</t>
  </si>
  <si>
    <t>Problem A concrete dam having water on vertical face is 16m high. The base of the dam is 8m wide and top 3m wide. Find the resultant thrust on the base per meter length of the dam and the point of where it intersects the base, where i contains water 16m deep. Take weight of the concrete as 23 KN/m3</t>
  </si>
  <si>
    <t xml:space="preserve">Given Details </t>
  </si>
  <si>
    <t xml:space="preserve">Height of Dam </t>
  </si>
  <si>
    <t xml:space="preserve">Base width </t>
  </si>
  <si>
    <t xml:space="preserve">Top width </t>
  </si>
  <si>
    <t xml:space="preserve">Depth of water </t>
  </si>
  <si>
    <t xml:space="preserve">Weight of concrete </t>
  </si>
  <si>
    <t xml:space="preserve">Resultant Thrust on the base per meter length of the dam </t>
  </si>
  <si>
    <t>P</t>
  </si>
  <si>
    <t xml:space="preserve">Weight per unit length of dam </t>
  </si>
  <si>
    <t xml:space="preserve">Point of resultant thrust intersect the base </t>
  </si>
  <si>
    <t>AM</t>
  </si>
  <si>
    <t>Answer</t>
  </si>
  <si>
    <t>M</t>
  </si>
  <si>
    <t>Question</t>
  </si>
  <si>
    <t>Gevin Details</t>
  </si>
  <si>
    <t>a</t>
  </si>
  <si>
    <t>h</t>
  </si>
  <si>
    <t>roh</t>
  </si>
  <si>
    <t>Given details</t>
  </si>
  <si>
    <t>unit</t>
  </si>
  <si>
    <t>Step 1</t>
  </si>
  <si>
    <t>weight of the dam per unit weight</t>
  </si>
  <si>
    <t>Step 2</t>
  </si>
  <si>
    <t>Toral pressure per unit length of the dam</t>
  </si>
  <si>
    <t>Step 3</t>
  </si>
  <si>
    <t>Z</t>
  </si>
  <si>
    <t>X-bar</t>
  </si>
  <si>
    <t>Eccentricity  of the resultant</t>
  </si>
  <si>
    <t>e</t>
  </si>
  <si>
    <t>lateral pressure</t>
  </si>
  <si>
    <t>kN</t>
  </si>
  <si>
    <t>KN/m^2</t>
  </si>
  <si>
    <t>KN/m^3</t>
  </si>
  <si>
    <t>Step 6</t>
  </si>
  <si>
    <t>Step 5</t>
  </si>
  <si>
    <t>Step 4</t>
  </si>
  <si>
    <t>When reservoir is empty</t>
  </si>
  <si>
    <t>When reservoir is full</t>
  </si>
  <si>
    <r>
      <t>P</t>
    </r>
    <r>
      <rPr>
        <sz val="9"/>
        <color theme="1"/>
        <rFont val="Calibri"/>
        <family val="2"/>
        <scheme val="minor"/>
      </rPr>
      <t>min</t>
    </r>
  </si>
  <si>
    <r>
      <t>P</t>
    </r>
    <r>
      <rPr>
        <sz val="9"/>
        <color theme="1"/>
        <rFont val="Calibri"/>
        <family val="2"/>
        <scheme val="minor"/>
      </rPr>
      <t>max</t>
    </r>
  </si>
  <si>
    <t>p</t>
  </si>
  <si>
    <t>A masonry dam 1.2 m wide at top and 3.2 m wideat bottom and 5 m high,. It has verticalwater face exposed to water .If the water is likely to rise to the top of the dam , calculate the maximum and minimum pressure at the base when the dam is full and when the dam is empty. Take density of masonry = 22.4 kn/m^3. Density of water = 10kn/m^3. Draw the stress intensity diagram for both cases.</t>
  </si>
  <si>
    <t>value</t>
  </si>
  <si>
    <t>A masonry dam of trapezoidal section having water on vertical face is 16m high.The base of the dam is 8m wide and top 3m wide,Find                                1) resultant thrust on the base per metre length of the dam.                               2) point, where resultant thrust cuts the base.                                                                3)Thee intensity of maximum and minimum stress acrosss the base.               Take weight of masonry  25kN /m^3 and that of water 10 kN/m^3.Assume water may rise upto the top level of the dam</t>
  </si>
  <si>
    <t>Resultant thrust on the dam</t>
  </si>
  <si>
    <t>A masonry retaining wall, trapezoidal in section. with one face vertical is 1 m wide at top and 3 m at the base and 8 m high The material retained on the verical face exerts a lateral pressure varying from zero at top to 25 kNIm² at the base. If the unit weight of masonry is 21 kN/m, calculate the marimum and minimum stress intensities</t>
  </si>
  <si>
    <t>A masonry dam 2 m wide at top and 7 m wideat bottom and 16 m high. Water imposeded upto a height of 15 m, the water face being vertical. Determine the normal stress intensities at the base, both when the dam is empty and full          Take density of masonry = 22.4 kn/m^3. Density of water = 10kn/m^3. Draw the stress intensity diagram for both cases.</t>
  </si>
  <si>
    <t>Miximum intensity of the pressure at base</t>
  </si>
  <si>
    <t>Manimum intensity of pressure at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</si>
</sst>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color theme="1"/>
      <name val="Calibri"/>
      <family val="2"/>
      <scheme val="minor"/>
    </font>
    <font>
      <sz val="11"/>
      <color theme="5"/>
      <name val="Calibri"/>
      <family val="2"/>
      <scheme val="minor"/>
    </font>
    <font>
      <sz val="11"/>
      <color rgb="FF00B050"/>
      <name val="Calibri"/>
      <family val="2"/>
      <scheme val="minor"/>
    </font>
    <font>
      <sz val="11"/>
      <color theme="1"/>
      <name val="Times New Roman"/>
      <family val="1"/>
    </font>
    <font>
      <b/>
      <sz val="11"/>
      <color theme="1"/>
      <name val="Times New Roman"/>
      <family val="1"/>
    </font>
    <font>
      <sz val="8"/>
      <name val="Calibri"/>
      <family val="2"/>
      <scheme val="minor"/>
    </font>
    <font>
      <sz val="9"/>
      <color theme="1"/>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0" fillId="0" borderId="1" xfId="0" applyBorder="1"/>
    <xf numFmtId="0" fontId="0" fillId="0" borderId="1" xfId="0" applyBorder="1" applyAlignment="1">
      <alignment horizontal="center" wrapText="1"/>
    </xf>
    <xf numFmtId="0" fontId="2" fillId="0" borderId="1" xfId="0" applyFont="1" applyBorder="1"/>
    <xf numFmtId="0" fontId="3" fillId="0" borderId="1" xfId="0" applyFont="1" applyBorder="1"/>
    <xf numFmtId="0" fontId="0" fillId="0" borderId="0" xfId="0" applyAlignment="1">
      <alignment wrapText="1"/>
    </xf>
    <xf numFmtId="0" fontId="0" fillId="0" borderId="1" xfId="0" applyBorder="1" applyAlignment="1">
      <alignment horizontal="center"/>
    </xf>
    <xf numFmtId="0" fontId="0" fillId="0" borderId="1" xfId="0" applyBorder="1" applyAlignment="1">
      <alignment wrapText="1"/>
    </xf>
    <xf numFmtId="0" fontId="4" fillId="0" borderId="0" xfId="0" applyFont="1"/>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center"/>
    </xf>
    <xf numFmtId="0" fontId="0" fillId="0" borderId="0" xfId="0" applyAlignment="1">
      <alignment horizontal="center" vertical="center"/>
    </xf>
    <xf numFmtId="164" fontId="0" fillId="0" borderId="1" xfId="0" applyNumberFormat="1" applyBorder="1"/>
    <xf numFmtId="2" fontId="0" fillId="0" borderId="1" xfId="0" applyNumberFormat="1" applyBorder="1"/>
    <xf numFmtId="0" fontId="0" fillId="0" borderId="2" xfId="0" applyBorder="1"/>
    <xf numFmtId="0" fontId="0" fillId="0" borderId="3" xfId="0" applyBorder="1"/>
    <xf numFmtId="0" fontId="0" fillId="0" borderId="1" xfId="0" applyBorder="1" applyAlignment="1">
      <alignment horizont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4" fillId="0" borderId="0" xfId="0" applyFont="1" applyAlignment="1">
      <alignment horizontal="center" wrapText="1"/>
    </xf>
    <xf numFmtId="0" fontId="5" fillId="0" borderId="0" xfId="0" applyFont="1" applyAlignment="1">
      <alignment horizontal="center"/>
    </xf>
    <xf numFmtId="0" fontId="4" fillId="0" borderId="1" xfId="0" applyFont="1" applyBorder="1" applyAlignment="1">
      <alignment horizontal="center"/>
    </xf>
    <xf numFmtId="0" fontId="0" fillId="0" borderId="0" xfId="0" applyAlignment="1">
      <alignment horizontal="center"/>
    </xf>
    <xf numFmtId="0" fontId="0" fillId="0" borderId="0" xfId="0" applyAlignment="1">
      <alignment horizontal="center" wrapText="1"/>
    </xf>
    <xf numFmtId="0" fontId="0" fillId="0" borderId="1" xfId="0" applyBorder="1" applyAlignment="1">
      <alignment horizontal="center"/>
    </xf>
    <xf numFmtId="0" fontId="0" fillId="0" borderId="1" xfId="0" applyBorder="1" applyAlignment="1">
      <alignment horizontal="left" vertical="top" wrapText="1"/>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'Rectangular Dam'!$H$12</c:f>
              <c:strCache>
                <c:ptCount val="1"/>
                <c:pt idx="0">
                  <c:v>pressure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'Rectangular Dam'!$G$13:$G$19</c:f>
              <c:numCache>
                <c:formatCode>General</c:formatCode>
                <c:ptCount val="7"/>
                <c:pt idx="0">
                  <c:v>6</c:v>
                </c:pt>
                <c:pt idx="1">
                  <c:v>5</c:v>
                </c:pt>
                <c:pt idx="2">
                  <c:v>4</c:v>
                </c:pt>
                <c:pt idx="3">
                  <c:v>3</c:v>
                </c:pt>
                <c:pt idx="4">
                  <c:v>2</c:v>
                </c:pt>
                <c:pt idx="5">
                  <c:v>1</c:v>
                </c:pt>
                <c:pt idx="6">
                  <c:v>0</c:v>
                </c:pt>
              </c:numCache>
            </c:numRef>
          </c:xVal>
          <c:yVal>
            <c:numRef>
              <c:f>'Rectangular Dam'!$H$13:$H$19</c:f>
              <c:numCache>
                <c:formatCode>General</c:formatCode>
                <c:ptCount val="7"/>
                <c:pt idx="0">
                  <c:v>176.58</c:v>
                </c:pt>
                <c:pt idx="1">
                  <c:v>122.625</c:v>
                </c:pt>
                <c:pt idx="2">
                  <c:v>78.48</c:v>
                </c:pt>
                <c:pt idx="3">
                  <c:v>44.145000000000003</c:v>
                </c:pt>
                <c:pt idx="4">
                  <c:v>19.62</c:v>
                </c:pt>
                <c:pt idx="5">
                  <c:v>4.9050000000000002</c:v>
                </c:pt>
                <c:pt idx="6">
                  <c:v>0</c:v>
                </c:pt>
              </c:numCache>
            </c:numRef>
          </c:yVal>
          <c:smooth val="0"/>
          <c:extLst>
            <c:ext xmlns:c16="http://schemas.microsoft.com/office/drawing/2014/chart" uri="{C3380CC4-5D6E-409C-BE32-E72D297353CC}">
              <c16:uniqueId val="{00000000-68A0-4DD1-8A65-121115E870BE}"/>
            </c:ext>
          </c:extLst>
        </c:ser>
        <c:dLbls>
          <c:showLegendKey val="0"/>
          <c:showVal val="0"/>
          <c:showCatName val="0"/>
          <c:showSerName val="0"/>
          <c:showPercent val="0"/>
          <c:showBubbleSize val="0"/>
        </c:dLbls>
        <c:axId val="756200911"/>
        <c:axId val="756201391"/>
      </c:scatterChart>
      <c:valAx>
        <c:axId val="75620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01391"/>
        <c:crosses val="autoZero"/>
        <c:crossBetween val="midCat"/>
      </c:valAx>
      <c:valAx>
        <c:axId val="75620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009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pressure intensity when reservoir is full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c:spPr>
          <c:cat>
            <c:strRef>
              <c:f>'Ex 19.6'!$M$76:$M$77</c:f>
              <c:strCache>
                <c:ptCount val="2"/>
                <c:pt idx="0">
                  <c:v>Pmax</c:v>
                </c:pt>
                <c:pt idx="1">
                  <c:v>Pmin</c:v>
                </c:pt>
              </c:strCache>
            </c:strRef>
          </c:cat>
          <c:val>
            <c:numRef>
              <c:f>'Ex 19.6'!$N$76:$N$77</c:f>
              <c:numCache>
                <c:formatCode>0.00</c:formatCode>
                <c:ptCount val="2"/>
                <c:pt idx="0">
                  <c:v>720.12244897959192</c:v>
                </c:pt>
                <c:pt idx="1">
                  <c:v>-226.40816326530611</c:v>
                </c:pt>
              </c:numCache>
            </c:numRef>
          </c:val>
          <c:extLst>
            <c:ext xmlns:c16="http://schemas.microsoft.com/office/drawing/2014/chart" uri="{C3380CC4-5D6E-409C-BE32-E72D297353CC}">
              <c16:uniqueId val="{00000000-838A-4BA0-8542-8C7537E3546D}"/>
            </c:ext>
          </c:extLst>
        </c:ser>
        <c:dLbls>
          <c:showLegendKey val="0"/>
          <c:showVal val="0"/>
          <c:showCatName val="0"/>
          <c:showSerName val="0"/>
          <c:showPercent val="0"/>
          <c:showBubbleSize val="0"/>
        </c:dLbls>
        <c:axId val="988473215"/>
        <c:axId val="988470335"/>
      </c:areaChart>
      <c:catAx>
        <c:axId val="988473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470335"/>
        <c:crosses val="autoZero"/>
        <c:auto val="1"/>
        <c:lblAlgn val="ctr"/>
        <c:lblOffset val="100"/>
        <c:noMultiLvlLbl val="0"/>
      </c:catAx>
      <c:valAx>
        <c:axId val="988470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473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 </a:t>
            </a:r>
            <a:r>
              <a:rPr lang="en-IN" sz="1400" b="0" i="0" u="none" strike="noStrike" kern="1200" spc="0" baseline="0">
                <a:solidFill>
                  <a:sysClr val="windowText" lastClr="000000">
                    <a:lumMod val="65000"/>
                    <a:lumOff val="35000"/>
                  </a:sysClr>
                </a:solidFill>
              </a:rPr>
              <a:t>pressure intensity when reservoir is empty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2477537182852143"/>
          <c:y val="0.19527777777777777"/>
          <c:w val="0.83267607174103242"/>
          <c:h val="0.64176727909011377"/>
        </c:manualLayout>
      </c:layout>
      <c:areaChart>
        <c:grouping val="standard"/>
        <c:varyColors val="0"/>
        <c:ser>
          <c:idx val="0"/>
          <c:order val="0"/>
          <c:spPr>
            <a:solidFill>
              <a:schemeClr val="accent1"/>
            </a:solidFill>
            <a:ln>
              <a:noFill/>
            </a:ln>
            <a:effectLst/>
          </c:spPr>
          <c:cat>
            <c:strRef>
              <c:f>'Ex 19.6'!$M$80:$M$81</c:f>
              <c:strCache>
                <c:ptCount val="2"/>
                <c:pt idx="0">
                  <c:v>Pmax</c:v>
                </c:pt>
                <c:pt idx="1">
                  <c:v>Pmin</c:v>
                </c:pt>
              </c:strCache>
            </c:strRef>
          </c:cat>
          <c:val>
            <c:numRef>
              <c:f>'Ex 19.6'!$N$80:$N$81</c:f>
              <c:numCache>
                <c:formatCode>0.00</c:formatCode>
                <c:ptCount val="2"/>
                <c:pt idx="0">
                  <c:v>462.36734693877554</c:v>
                </c:pt>
                <c:pt idx="1">
                  <c:v>31.346938775510175</c:v>
                </c:pt>
              </c:numCache>
            </c:numRef>
          </c:val>
          <c:extLst>
            <c:ext xmlns:c16="http://schemas.microsoft.com/office/drawing/2014/chart" uri="{C3380CC4-5D6E-409C-BE32-E72D297353CC}">
              <c16:uniqueId val="{00000000-748D-4B13-BBAD-82CDDEA5A775}"/>
            </c:ext>
          </c:extLst>
        </c:ser>
        <c:dLbls>
          <c:showLegendKey val="0"/>
          <c:showVal val="0"/>
          <c:showCatName val="0"/>
          <c:showSerName val="0"/>
          <c:showPercent val="0"/>
          <c:showBubbleSize val="0"/>
        </c:dLbls>
        <c:axId val="1335737551"/>
        <c:axId val="1335738031"/>
      </c:areaChart>
      <c:catAx>
        <c:axId val="1335737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38031"/>
        <c:crosses val="autoZero"/>
        <c:auto val="1"/>
        <c:lblAlgn val="ctr"/>
        <c:lblOffset val="100"/>
        <c:noMultiLvlLbl val="0"/>
      </c:catAx>
      <c:valAx>
        <c:axId val="1335738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37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 pressure intensity when reservoir is full</a:t>
            </a:r>
          </a:p>
          <a:p>
            <a:pPr>
              <a:defRPr/>
            </a:pPr>
            <a:endParaRPr lang="en-IN" sz="1400" b="0" i="0" u="none" strike="noStrike" kern="1200" spc="0" baseline="0">
              <a:solidFill>
                <a:sysClr val="windowText" lastClr="000000">
                  <a:lumMod val="65000"/>
                  <a:lumOff val="35000"/>
                </a:sysClr>
              </a:solidFill>
            </a:endParaRPr>
          </a:p>
          <a:p>
            <a:pPr>
              <a:defRPr/>
            </a:pPr>
            <a:endParaRPr lang="en-IN"/>
          </a:p>
        </c:rich>
      </c:tx>
      <c:layout>
        <c:manualLayout>
          <c:xMode val="edge"/>
          <c:yMode val="edge"/>
          <c:x val="0.19416666666666668"/>
          <c:y val="4.2613636363636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65048118985126"/>
          <c:y val="0.29754629629629631"/>
          <c:w val="0.82502318460192481"/>
          <c:h val="0.61912037037037038"/>
        </c:manualLayout>
      </c:layout>
      <c:areaChart>
        <c:grouping val="standard"/>
        <c:varyColors val="0"/>
        <c:ser>
          <c:idx val="0"/>
          <c:order val="0"/>
          <c:spPr>
            <a:solidFill>
              <a:schemeClr val="accent1"/>
            </a:solidFill>
            <a:ln>
              <a:noFill/>
            </a:ln>
            <a:effectLst/>
          </c:spPr>
          <c:cat>
            <c:strRef>
              <c:f>'Ex 19.6'!$O$105:$O$106</c:f>
              <c:strCache>
                <c:ptCount val="2"/>
                <c:pt idx="0">
                  <c:v>Pmax</c:v>
                </c:pt>
                <c:pt idx="1">
                  <c:v>Pmin</c:v>
                </c:pt>
              </c:strCache>
            </c:strRef>
          </c:cat>
          <c:val>
            <c:numRef>
              <c:f>'Ex 19.6'!$P$105:$P$106</c:f>
              <c:numCache>
                <c:formatCode>0.00</c:formatCode>
                <c:ptCount val="2"/>
                <c:pt idx="0">
                  <c:v>696.24999999999989</c:v>
                </c:pt>
                <c:pt idx="1">
                  <c:v>-146.24999999999991</c:v>
                </c:pt>
              </c:numCache>
            </c:numRef>
          </c:val>
          <c:extLst>
            <c:ext xmlns:c16="http://schemas.microsoft.com/office/drawing/2014/chart" uri="{C3380CC4-5D6E-409C-BE32-E72D297353CC}">
              <c16:uniqueId val="{00000000-3586-4C15-9597-E969B4ABA305}"/>
            </c:ext>
          </c:extLst>
        </c:ser>
        <c:dLbls>
          <c:showLegendKey val="0"/>
          <c:showVal val="0"/>
          <c:showCatName val="0"/>
          <c:showSerName val="0"/>
          <c:showPercent val="0"/>
          <c:showBubbleSize val="0"/>
        </c:dLbls>
        <c:axId val="1332616959"/>
        <c:axId val="1332617919"/>
      </c:areaChart>
      <c:catAx>
        <c:axId val="133261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617919"/>
        <c:crosses val="autoZero"/>
        <c:auto val="1"/>
        <c:lblAlgn val="ctr"/>
        <c:lblOffset val="100"/>
        <c:noMultiLvlLbl val="0"/>
      </c:catAx>
      <c:valAx>
        <c:axId val="1332617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616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 </a:t>
            </a:r>
            <a:r>
              <a:rPr lang="en-IN" sz="1400" b="0" i="0" u="none" strike="noStrike" kern="1200" spc="0" baseline="0">
                <a:solidFill>
                  <a:sysClr val="windowText" lastClr="000000">
                    <a:lumMod val="65000"/>
                    <a:lumOff val="35000"/>
                  </a:sysClr>
                </a:solidFill>
              </a:rPr>
              <a:t>pressure intensity when reservoir is full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c:spPr>
          <c:cat>
            <c:strRef>
              <c:f>'Ex 19.6'!$K$21:$K$22</c:f>
              <c:strCache>
                <c:ptCount val="2"/>
                <c:pt idx="0">
                  <c:v>Pmax</c:v>
                </c:pt>
                <c:pt idx="1">
                  <c:v>Pmin</c:v>
                </c:pt>
              </c:strCache>
            </c:strRef>
          </c:cat>
          <c:val>
            <c:numRef>
              <c:f>'Ex 19.6'!$L$21:$L$22</c:f>
              <c:numCache>
                <c:formatCode>0.000</c:formatCode>
                <c:ptCount val="2"/>
                <c:pt idx="0">
                  <c:v>196.44444444444446</c:v>
                </c:pt>
                <c:pt idx="1">
                  <c:v>27.555555555555557</c:v>
                </c:pt>
              </c:numCache>
            </c:numRef>
          </c:val>
          <c:extLst>
            <c:ext xmlns:c16="http://schemas.microsoft.com/office/drawing/2014/chart" uri="{C3380CC4-5D6E-409C-BE32-E72D297353CC}">
              <c16:uniqueId val="{00000000-F082-4470-B135-38ACC8342CB8}"/>
            </c:ext>
          </c:extLst>
        </c:ser>
        <c:dLbls>
          <c:showLegendKey val="0"/>
          <c:showVal val="0"/>
          <c:showCatName val="0"/>
          <c:showSerName val="0"/>
          <c:showPercent val="0"/>
          <c:showBubbleSize val="0"/>
        </c:dLbls>
        <c:axId val="1339645583"/>
        <c:axId val="1339646063"/>
      </c:areaChart>
      <c:catAx>
        <c:axId val="1339645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46063"/>
        <c:crosses val="autoZero"/>
        <c:auto val="1"/>
        <c:lblAlgn val="ctr"/>
        <c:lblOffset val="100"/>
        <c:noMultiLvlLbl val="0"/>
      </c:catAx>
      <c:valAx>
        <c:axId val="133964606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45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pressure intensity when reservoir is full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c:spPr>
          <c:cat>
            <c:strRef>
              <c:f>'Ex 19.6'!$K$48:$K$49</c:f>
              <c:strCache>
                <c:ptCount val="2"/>
                <c:pt idx="0">
                  <c:v>Pmax</c:v>
                </c:pt>
                <c:pt idx="1">
                  <c:v>Pmin</c:v>
                </c:pt>
              </c:strCache>
            </c:strRef>
          </c:cat>
          <c:val>
            <c:numRef>
              <c:f>'Ex 19.6'!$L$48:$L$49</c:f>
              <c:numCache>
                <c:formatCode>0.00</c:formatCode>
                <c:ptCount val="2"/>
                <c:pt idx="0">
                  <c:v>137.82031249999994</c:v>
                </c:pt>
                <c:pt idx="1">
                  <c:v>16.179687500000021</c:v>
                </c:pt>
              </c:numCache>
            </c:numRef>
          </c:val>
          <c:extLst>
            <c:ext xmlns:c16="http://schemas.microsoft.com/office/drawing/2014/chart" uri="{C3380CC4-5D6E-409C-BE32-E72D297353CC}">
              <c16:uniqueId val="{00000000-90ED-481D-9441-339A84898239}"/>
            </c:ext>
          </c:extLst>
        </c:ser>
        <c:dLbls>
          <c:showLegendKey val="0"/>
          <c:showVal val="0"/>
          <c:showCatName val="0"/>
          <c:showSerName val="0"/>
          <c:showPercent val="0"/>
          <c:showBubbleSize val="0"/>
        </c:dLbls>
        <c:axId val="979723423"/>
        <c:axId val="979723903"/>
      </c:areaChart>
      <c:catAx>
        <c:axId val="979723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723903"/>
        <c:crosses val="autoZero"/>
        <c:auto val="1"/>
        <c:lblAlgn val="ctr"/>
        <c:lblOffset val="100"/>
        <c:noMultiLvlLbl val="0"/>
      </c:catAx>
      <c:valAx>
        <c:axId val="979723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723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152401</xdr:colOff>
      <xdr:row>1</xdr:row>
      <xdr:rowOff>47625</xdr:rowOff>
    </xdr:from>
    <xdr:to>
      <xdr:col>9</xdr:col>
      <xdr:colOff>581025</xdr:colOff>
      <xdr:row>10</xdr:row>
      <xdr:rowOff>106179</xdr:rowOff>
    </xdr:to>
    <xdr:pic>
      <xdr:nvPicPr>
        <xdr:cNvPr id="2" name="Picture 1">
          <a:extLst>
            <a:ext uri="{FF2B5EF4-FFF2-40B4-BE49-F238E27FC236}">
              <a16:creationId xmlns:a16="http://schemas.microsoft.com/office/drawing/2014/main" id="{351B5CE0-BC5E-CC9D-D2A2-51DE60B13A7D}"/>
            </a:ext>
          </a:extLst>
        </xdr:cNvPr>
        <xdr:cNvPicPr>
          <a:picLocks noChangeAspect="1"/>
        </xdr:cNvPicPr>
      </xdr:nvPicPr>
      <xdr:blipFill>
        <a:blip xmlns:r="http://schemas.openxmlformats.org/officeDocument/2006/relationships" r:embed="rId1"/>
        <a:stretch>
          <a:fillRect/>
        </a:stretch>
      </xdr:blipFill>
      <xdr:spPr>
        <a:xfrm>
          <a:off x="6124576" y="238125"/>
          <a:ext cx="2867024" cy="2535054"/>
        </a:xfrm>
        <a:prstGeom prst="rect">
          <a:avLst/>
        </a:prstGeom>
      </xdr:spPr>
    </xdr:pic>
    <xdr:clientData/>
  </xdr:twoCellAnchor>
  <xdr:twoCellAnchor>
    <xdr:from>
      <xdr:col>8</xdr:col>
      <xdr:colOff>350520</xdr:colOff>
      <xdr:row>12</xdr:row>
      <xdr:rowOff>30480</xdr:rowOff>
    </xdr:from>
    <xdr:to>
      <xdr:col>16</xdr:col>
      <xdr:colOff>45720</xdr:colOff>
      <xdr:row>26</xdr:row>
      <xdr:rowOff>30480</xdr:rowOff>
    </xdr:to>
    <xdr:graphicFrame macro="">
      <xdr:nvGraphicFramePr>
        <xdr:cNvPr id="10" name="Chart 9">
          <a:extLst>
            <a:ext uri="{FF2B5EF4-FFF2-40B4-BE49-F238E27FC236}">
              <a16:creationId xmlns:a16="http://schemas.microsoft.com/office/drawing/2014/main" id="{BA8DDEAF-F18A-8B05-FCEE-44E138B71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129541</xdr:colOff>
      <xdr:row>3</xdr:row>
      <xdr:rowOff>60961</xdr:rowOff>
    </xdr:from>
    <xdr:to>
      <xdr:col>7</xdr:col>
      <xdr:colOff>243840</xdr:colOff>
      <xdr:row>9</xdr:row>
      <xdr:rowOff>167640</xdr:rowOff>
    </xdr:to>
    <xdr:pic>
      <xdr:nvPicPr>
        <xdr:cNvPr id="2" name="Picture 1">
          <a:extLst>
            <a:ext uri="{FF2B5EF4-FFF2-40B4-BE49-F238E27FC236}">
              <a16:creationId xmlns:a16="http://schemas.microsoft.com/office/drawing/2014/main" id="{69E2861A-9B48-8852-07A8-53F224064283}"/>
            </a:ext>
          </a:extLst>
        </xdr:cNvPr>
        <xdr:cNvPicPr>
          <a:picLocks noChangeAspect="1"/>
        </xdr:cNvPicPr>
      </xdr:nvPicPr>
      <xdr:blipFill>
        <a:blip xmlns:r="http://schemas.openxmlformats.org/officeDocument/2006/relationships" r:embed="rId1"/>
        <a:stretch>
          <a:fillRect/>
        </a:stretch>
      </xdr:blipFill>
      <xdr:spPr>
        <a:xfrm>
          <a:off x="3520441" y="1524001"/>
          <a:ext cx="1333499" cy="13334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121920</xdr:colOff>
      <xdr:row>67</xdr:row>
      <xdr:rowOff>167640</xdr:rowOff>
    </xdr:from>
    <xdr:to>
      <xdr:col>6</xdr:col>
      <xdr:colOff>373380</xdr:colOff>
      <xdr:row>82</xdr:row>
      <xdr:rowOff>53340</xdr:rowOff>
    </xdr:to>
    <xdr:graphicFrame macro="">
      <xdr:nvGraphicFramePr>
        <xdr:cNvPr id="6" name="Chart 5">
          <a:extLst>
            <a:ext uri="{FF2B5EF4-FFF2-40B4-BE49-F238E27FC236}">
              <a16:creationId xmlns:a16="http://schemas.microsoft.com/office/drawing/2014/main" id="{E071BA2E-1684-C2DF-04B1-14430CFDC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160020</xdr:colOff>
      <xdr:row>65</xdr:row>
      <xdr:rowOff>167640</xdr:rowOff>
    </xdr:from>
    <xdr:to>
      <xdr:col>22</xdr:col>
      <xdr:colOff>464820</xdr:colOff>
      <xdr:row>80</xdr:row>
      <xdr:rowOff>167640</xdr:rowOff>
    </xdr:to>
    <xdr:graphicFrame macro="">
      <xdr:nvGraphicFramePr>
        <xdr:cNvPr id="7" name="Chart 6">
          <a:extLst>
            <a:ext uri="{FF2B5EF4-FFF2-40B4-BE49-F238E27FC236}">
              <a16:creationId xmlns:a16="http://schemas.microsoft.com/office/drawing/2014/main" id="{08BD9E0E-19A2-F071-DA80-0DFDB96AB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144780</xdr:colOff>
      <xdr:row>94</xdr:row>
      <xdr:rowOff>160020</xdr:rowOff>
    </xdr:from>
    <xdr:to>
      <xdr:col>24</xdr:col>
      <xdr:colOff>449580</xdr:colOff>
      <xdr:row>109</xdr:row>
      <xdr:rowOff>99060</xdr:rowOff>
    </xdr:to>
    <xdr:graphicFrame macro="">
      <xdr:nvGraphicFramePr>
        <xdr:cNvPr id="8" name="Chart 7">
          <a:extLst>
            <a:ext uri="{FF2B5EF4-FFF2-40B4-BE49-F238E27FC236}">
              <a16:creationId xmlns:a16="http://schemas.microsoft.com/office/drawing/2014/main" id="{F8287656-CCBC-6CF0-9EBE-D93BFCB0D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38100</xdr:colOff>
      <xdr:row>5</xdr:row>
      <xdr:rowOff>15240</xdr:rowOff>
    </xdr:from>
    <xdr:to>
      <xdr:col>20</xdr:col>
      <xdr:colOff>251460</xdr:colOff>
      <xdr:row>20</xdr:row>
      <xdr:rowOff>15240</xdr:rowOff>
    </xdr:to>
    <xdr:graphicFrame macro="">
      <xdr:nvGraphicFramePr>
        <xdr:cNvPr id="9" name="Chart 8">
          <a:extLst>
            <a:ext uri="{FF2B5EF4-FFF2-40B4-BE49-F238E27FC236}">
              <a16:creationId xmlns:a16="http://schemas.microsoft.com/office/drawing/2014/main" id="{D7D36C22-9FC8-A897-31FB-2AF888B9C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175260</xdr:colOff>
      <xdr:row>36</xdr:row>
      <xdr:rowOff>15240</xdr:rowOff>
    </xdr:from>
    <xdr:to>
      <xdr:col>20</xdr:col>
      <xdr:colOff>388620</xdr:colOff>
      <xdr:row>51</xdr:row>
      <xdr:rowOff>15240</xdr:rowOff>
    </xdr:to>
    <xdr:graphicFrame macro="">
      <xdr:nvGraphicFramePr>
        <xdr:cNvPr id="10" name="Chart 9">
          <a:extLst>
            <a:ext uri="{FF2B5EF4-FFF2-40B4-BE49-F238E27FC236}">
              <a16:creationId xmlns:a16="http://schemas.microsoft.com/office/drawing/2014/main" id="{2E33C931-1CFE-FCAD-0DC8-19E403215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9"/>
  <sheetViews>
    <sheetView workbookViewId="0">
      <selection activeCell="G12" sqref="G12:H19"/>
    </sheetView>
  </sheetViews>
  <sheetFormatPr defaultRowHeight="14.4" x14ac:dyDescent="0.3"/>
  <cols>
    <col min="2" max="2" width="53" bestFit="1" customWidth="1"/>
  </cols>
  <sheetData>
    <row r="1" spans="2:8" x14ac:dyDescent="0.3">
      <c r="B1" s="19" t="s">
        <v>14</v>
      </c>
      <c r="C1" s="20"/>
      <c r="D1" s="20"/>
      <c r="E1" s="21"/>
    </row>
    <row r="2" spans="2:8" ht="75" customHeight="1" x14ac:dyDescent="0.3">
      <c r="B2" s="18" t="s">
        <v>18</v>
      </c>
      <c r="C2" s="18"/>
      <c r="D2" s="18"/>
      <c r="E2" s="18"/>
    </row>
    <row r="3" spans="2:8" x14ac:dyDescent="0.3">
      <c r="B3" s="1" t="s">
        <v>0</v>
      </c>
      <c r="C3" s="1"/>
      <c r="D3" s="1"/>
      <c r="E3" s="1"/>
    </row>
    <row r="4" spans="2:8" x14ac:dyDescent="0.3">
      <c r="B4" s="1" t="s">
        <v>1</v>
      </c>
      <c r="C4" s="3" t="s">
        <v>2</v>
      </c>
      <c r="D4" s="4">
        <v>6</v>
      </c>
      <c r="E4" s="1" t="s">
        <v>3</v>
      </c>
    </row>
    <row r="5" spans="2:8" x14ac:dyDescent="0.3">
      <c r="B5" s="1" t="s">
        <v>4</v>
      </c>
      <c r="C5" s="3" t="s">
        <v>5</v>
      </c>
      <c r="D5" s="4">
        <v>2.5</v>
      </c>
      <c r="E5" s="1" t="s">
        <v>3</v>
      </c>
    </row>
    <row r="6" spans="2:8" x14ac:dyDescent="0.3">
      <c r="B6" s="1" t="s">
        <v>1</v>
      </c>
      <c r="C6" s="3" t="s">
        <v>6</v>
      </c>
      <c r="D6" s="4">
        <v>23</v>
      </c>
      <c r="E6" s="1" t="s">
        <v>7</v>
      </c>
    </row>
    <row r="7" spans="2:8" x14ac:dyDescent="0.3">
      <c r="B7" s="1"/>
      <c r="C7" s="3"/>
      <c r="D7" s="4"/>
      <c r="E7" s="1"/>
    </row>
    <row r="8" spans="2:8" x14ac:dyDescent="0.3">
      <c r="B8" s="1" t="s">
        <v>8</v>
      </c>
      <c r="C8" s="3"/>
      <c r="D8" s="4">
        <f>(9.8*D4^2)/2</f>
        <v>176.4</v>
      </c>
      <c r="E8" s="1" t="s">
        <v>9</v>
      </c>
    </row>
    <row r="9" spans="2:8" x14ac:dyDescent="0.3">
      <c r="B9" s="1" t="s">
        <v>10</v>
      </c>
      <c r="C9" s="3" t="s">
        <v>6</v>
      </c>
      <c r="D9" s="4">
        <f>D6*D4*D5</f>
        <v>345</v>
      </c>
      <c r="E9" s="1" t="s">
        <v>9</v>
      </c>
    </row>
    <row r="10" spans="2:8" x14ac:dyDescent="0.3">
      <c r="B10" s="1"/>
      <c r="C10" s="3" t="s">
        <v>11</v>
      </c>
      <c r="D10" s="4">
        <f>(D8/D9)*(D4/3)</f>
        <v>1.022608695652174</v>
      </c>
      <c r="E10" s="1" t="s">
        <v>3</v>
      </c>
    </row>
    <row r="11" spans="2:8" x14ac:dyDescent="0.3">
      <c r="B11" s="1" t="s">
        <v>12</v>
      </c>
      <c r="C11" s="3" t="s">
        <v>13</v>
      </c>
      <c r="D11" s="4">
        <f>SQRT((D8)^2+(D9)^2)</f>
        <v>387.48156085161008</v>
      </c>
      <c r="E11" s="1" t="s">
        <v>3</v>
      </c>
    </row>
    <row r="12" spans="2:8" x14ac:dyDescent="0.3">
      <c r="B12" s="1" t="s">
        <v>21</v>
      </c>
      <c r="C12" s="1" t="s">
        <v>22</v>
      </c>
      <c r="D12" s="1">
        <v>9.81</v>
      </c>
      <c r="E12" s="1" t="s">
        <v>23</v>
      </c>
      <c r="G12" s="1" t="s">
        <v>19</v>
      </c>
      <c r="H12" s="1" t="s">
        <v>20</v>
      </c>
    </row>
    <row r="13" spans="2:8" x14ac:dyDescent="0.3">
      <c r="B13" s="1" t="s">
        <v>15</v>
      </c>
      <c r="C13" s="1"/>
      <c r="D13" s="1">
        <f>D8</f>
        <v>176.4</v>
      </c>
      <c r="E13" s="1" t="str">
        <f>E8</f>
        <v>KN</v>
      </c>
      <c r="G13" s="1">
        <v>6</v>
      </c>
      <c r="H13" s="1">
        <f>($D$12*G13^2)/2</f>
        <v>176.58</v>
      </c>
    </row>
    <row r="14" spans="2:8" ht="28.8" x14ac:dyDescent="0.3">
      <c r="B14" s="2" t="s">
        <v>16</v>
      </c>
      <c r="C14" s="1"/>
      <c r="D14" s="1">
        <f>D10</f>
        <v>1.022608695652174</v>
      </c>
      <c r="E14" s="1" t="str">
        <f>E11</f>
        <v>m</v>
      </c>
      <c r="G14" s="1">
        <f>G13-1</f>
        <v>5</v>
      </c>
      <c r="H14" s="1">
        <f t="shared" ref="H14:H19" si="0">($D$12*G14^2)/2</f>
        <v>122.625</v>
      </c>
    </row>
    <row r="15" spans="2:8" x14ac:dyDescent="0.3">
      <c r="B15" s="1" t="s">
        <v>17</v>
      </c>
      <c r="C15" s="1"/>
      <c r="D15" s="1">
        <f>D11</f>
        <v>387.48156085161008</v>
      </c>
      <c r="E15" s="1" t="str">
        <f>E11</f>
        <v>m</v>
      </c>
      <c r="G15" s="1">
        <f t="shared" ref="G15:G18" si="1">G14-1</f>
        <v>4</v>
      </c>
      <c r="H15" s="1">
        <f t="shared" si="0"/>
        <v>78.48</v>
      </c>
    </row>
    <row r="16" spans="2:8" x14ac:dyDescent="0.3">
      <c r="G16" s="1">
        <f t="shared" si="1"/>
        <v>3</v>
      </c>
      <c r="H16" s="1">
        <f t="shared" si="0"/>
        <v>44.145000000000003</v>
      </c>
    </row>
    <row r="17" spans="7:8" x14ac:dyDescent="0.3">
      <c r="G17" s="1">
        <f t="shared" si="1"/>
        <v>2</v>
      </c>
      <c r="H17" s="1">
        <f t="shared" si="0"/>
        <v>19.62</v>
      </c>
    </row>
    <row r="18" spans="7:8" x14ac:dyDescent="0.3">
      <c r="G18" s="1">
        <f t="shared" si="1"/>
        <v>1</v>
      </c>
      <c r="H18" s="1">
        <f t="shared" si="0"/>
        <v>4.9050000000000002</v>
      </c>
    </row>
    <row r="19" spans="7:8" x14ac:dyDescent="0.3">
      <c r="G19" s="1">
        <f>G18-1</f>
        <v>0</v>
      </c>
      <c r="H19" s="1">
        <f t="shared" si="0"/>
        <v>0</v>
      </c>
    </row>
  </sheetData>
  <mergeCells count="2">
    <mergeCell ref="B2:E2"/>
    <mergeCell ref="B1:E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54082-18AA-45E2-9055-D9C205700763}">
  <dimension ref="A2:I16"/>
  <sheetViews>
    <sheetView zoomScale="68" zoomScaleNormal="115" workbookViewId="0">
      <selection activeCell="W6" sqref="W6"/>
    </sheetView>
  </sheetViews>
  <sheetFormatPr defaultRowHeight="13.8" x14ac:dyDescent="0.25"/>
  <cols>
    <col min="1" max="1" width="8.88671875" style="8"/>
    <col min="2" max="2" width="13.88671875" style="8" bestFit="1" customWidth="1"/>
    <col min="3" max="16384" width="8.88671875" style="8"/>
  </cols>
  <sheetData>
    <row r="2" spans="1:9" x14ac:dyDescent="0.25">
      <c r="B2" s="38" t="s">
        <v>24</v>
      </c>
      <c r="C2" s="38"/>
      <c r="D2" s="38"/>
      <c r="E2" s="38"/>
      <c r="F2" s="38"/>
      <c r="G2" s="38"/>
      <c r="H2" s="38"/>
    </row>
    <row r="3" spans="1:9" ht="86.4" customHeight="1" x14ac:dyDescent="0.25">
      <c r="B3" s="37" t="s">
        <v>25</v>
      </c>
      <c r="C3" s="37"/>
      <c r="D3" s="37"/>
      <c r="E3" s="37"/>
      <c r="F3" s="37"/>
      <c r="G3" s="37"/>
      <c r="H3" s="37"/>
    </row>
    <row r="4" spans="1:9" x14ac:dyDescent="0.25">
      <c r="B4" s="9" t="s">
        <v>26</v>
      </c>
      <c r="C4" s="9"/>
      <c r="D4" s="9"/>
    </row>
    <row r="5" spans="1:9" x14ac:dyDescent="0.25">
      <c r="B5" s="9" t="s">
        <v>27</v>
      </c>
      <c r="C5" s="9">
        <v>20</v>
      </c>
      <c r="D5" s="9" t="s">
        <v>3</v>
      </c>
    </row>
    <row r="6" spans="1:9" x14ac:dyDescent="0.25">
      <c r="B6" s="9" t="s">
        <v>28</v>
      </c>
      <c r="C6" s="9">
        <v>8</v>
      </c>
      <c r="D6" s="9" t="s">
        <v>3</v>
      </c>
    </row>
    <row r="7" spans="1:9" x14ac:dyDescent="0.25">
      <c r="B7" s="9" t="s">
        <v>29</v>
      </c>
      <c r="C7" s="9">
        <v>3</v>
      </c>
      <c r="D7" s="9" t="s">
        <v>3</v>
      </c>
    </row>
    <row r="8" spans="1:9" x14ac:dyDescent="0.25">
      <c r="B8" s="9" t="s">
        <v>30</v>
      </c>
      <c r="C8" s="9">
        <v>16</v>
      </c>
      <c r="D8" s="9" t="s">
        <v>3</v>
      </c>
    </row>
    <row r="9" spans="1:9" ht="27.6" x14ac:dyDescent="0.25">
      <c r="B9" s="10" t="s">
        <v>31</v>
      </c>
      <c r="C9" s="9">
        <v>24</v>
      </c>
      <c r="D9" s="9" t="s">
        <v>7</v>
      </c>
    </row>
    <row r="10" spans="1:9" x14ac:dyDescent="0.25">
      <c r="B10" s="8" t="s">
        <v>37</v>
      </c>
    </row>
    <row r="11" spans="1:9" x14ac:dyDescent="0.25">
      <c r="A11" s="11">
        <v>1</v>
      </c>
      <c r="B11" s="39" t="s">
        <v>32</v>
      </c>
      <c r="C11" s="39"/>
      <c r="D11" s="39"/>
      <c r="E11" s="39"/>
      <c r="F11" s="39"/>
      <c r="G11" s="11" t="s">
        <v>33</v>
      </c>
      <c r="H11" s="12">
        <f>((9.81*C8^2)/2)</f>
        <v>1255.68</v>
      </c>
      <c r="I11" s="12" t="s">
        <v>9</v>
      </c>
    </row>
    <row r="12" spans="1:9" x14ac:dyDescent="0.25">
      <c r="A12" s="11">
        <v>2</v>
      </c>
      <c r="B12" s="39" t="s">
        <v>34</v>
      </c>
      <c r="C12" s="39"/>
      <c r="D12" s="39"/>
      <c r="E12" s="39"/>
      <c r="F12" s="39"/>
      <c r="G12" s="11" t="s">
        <v>6</v>
      </c>
      <c r="H12" s="12">
        <f>(C9*(0.5*(8+3)*C5))</f>
        <v>2640</v>
      </c>
      <c r="I12" s="12" t="s">
        <v>9</v>
      </c>
    </row>
    <row r="13" spans="1:9" x14ac:dyDescent="0.25">
      <c r="A13" s="11">
        <v>3</v>
      </c>
      <c r="B13" s="39" t="s">
        <v>12</v>
      </c>
      <c r="C13" s="39"/>
      <c r="D13" s="39"/>
      <c r="E13" s="39"/>
      <c r="F13" s="39"/>
      <c r="G13" s="11" t="s">
        <v>13</v>
      </c>
      <c r="H13" s="12">
        <f>SQRT((H11)^2+(H12)^2)</f>
        <v>2923.4110662717276</v>
      </c>
      <c r="I13" s="12" t="s">
        <v>9</v>
      </c>
    </row>
    <row r="14" spans="1:9" x14ac:dyDescent="0.25">
      <c r="A14" s="31">
        <v>4</v>
      </c>
      <c r="B14" s="22" t="s">
        <v>35</v>
      </c>
      <c r="C14" s="23"/>
      <c r="D14" s="23"/>
      <c r="E14" s="23"/>
      <c r="F14" s="24"/>
      <c r="G14" s="31" t="s">
        <v>36</v>
      </c>
      <c r="H14" s="12">
        <f>((C5*C7*(3/2))+(C5*(5/2)*(C7+(5/3))))</f>
        <v>323.33333333333337</v>
      </c>
      <c r="I14" s="34" t="s">
        <v>38</v>
      </c>
    </row>
    <row r="15" spans="1:9" x14ac:dyDescent="0.25">
      <c r="A15" s="32"/>
      <c r="B15" s="25"/>
      <c r="C15" s="26"/>
      <c r="D15" s="26"/>
      <c r="E15" s="26"/>
      <c r="F15" s="27"/>
      <c r="G15" s="32"/>
      <c r="H15" s="12">
        <f>(H14/100)</f>
        <v>3.2333333333333338</v>
      </c>
      <c r="I15" s="35"/>
    </row>
    <row r="16" spans="1:9" x14ac:dyDescent="0.25">
      <c r="A16" s="33"/>
      <c r="B16" s="28"/>
      <c r="C16" s="29"/>
      <c r="D16" s="29"/>
      <c r="E16" s="29"/>
      <c r="F16" s="30"/>
      <c r="G16" s="33"/>
      <c r="H16" s="12">
        <v>5.48</v>
      </c>
      <c r="I16" s="36"/>
    </row>
  </sheetData>
  <mergeCells count="9">
    <mergeCell ref="B2:H2"/>
    <mergeCell ref="B11:F11"/>
    <mergeCell ref="B12:F12"/>
    <mergeCell ref="B13:F13"/>
    <mergeCell ref="B14:F16"/>
    <mergeCell ref="A14:A16"/>
    <mergeCell ref="G14:G16"/>
    <mergeCell ref="I14:I16"/>
    <mergeCell ref="B3:H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B8152-1F99-4C1B-9DEC-2D7BC7307FFC}">
  <dimension ref="A3:Q110"/>
  <sheetViews>
    <sheetView tabSelected="1" workbookViewId="0">
      <selection activeCell="N1" sqref="N1"/>
    </sheetView>
  </sheetViews>
  <sheetFormatPr defaultRowHeight="14.4" x14ac:dyDescent="0.3"/>
  <cols>
    <col min="2" max="2" width="13.6640625" customWidth="1"/>
    <col min="4" max="4" width="11.33203125" bestFit="1" customWidth="1"/>
    <col min="8" max="8" width="17.77734375" customWidth="1"/>
    <col min="12" max="12" width="9.5546875" bestFit="1" customWidth="1"/>
    <col min="14" max="14" width="10.21875" bestFit="1" customWidth="1"/>
  </cols>
  <sheetData>
    <row r="3" spans="1:13" ht="82.8" customHeight="1" x14ac:dyDescent="0.3">
      <c r="A3" s="13" t="s">
        <v>39</v>
      </c>
      <c r="B3" s="48" t="s">
        <v>71</v>
      </c>
      <c r="C3" s="48"/>
      <c r="D3" s="48"/>
      <c r="E3" s="48"/>
      <c r="F3" s="48"/>
      <c r="G3" s="48"/>
    </row>
    <row r="4" spans="1:13" x14ac:dyDescent="0.3">
      <c r="A4" t="s">
        <v>37</v>
      </c>
      <c r="B4" t="s">
        <v>40</v>
      </c>
    </row>
    <row r="5" spans="1:13" x14ac:dyDescent="0.3">
      <c r="B5" s="1" t="s">
        <v>44</v>
      </c>
      <c r="C5" s="1" t="s">
        <v>68</v>
      </c>
      <c r="D5" s="1" t="s">
        <v>45</v>
      </c>
    </row>
    <row r="6" spans="1:13" x14ac:dyDescent="0.3">
      <c r="B6" s="1" t="s">
        <v>41</v>
      </c>
      <c r="C6" s="1">
        <v>1</v>
      </c>
      <c r="D6" s="1" t="s">
        <v>3</v>
      </c>
    </row>
    <row r="7" spans="1:13" x14ac:dyDescent="0.3">
      <c r="B7" s="1" t="s">
        <v>5</v>
      </c>
      <c r="C7" s="1">
        <v>3</v>
      </c>
      <c r="D7" s="1" t="s">
        <v>3</v>
      </c>
      <c r="F7" s="42" t="s">
        <v>46</v>
      </c>
      <c r="G7" s="42"/>
      <c r="H7" s="42"/>
      <c r="I7" s="1"/>
      <c r="J7" s="1"/>
      <c r="K7" s="1"/>
      <c r="L7" s="1"/>
      <c r="M7" s="1"/>
    </row>
    <row r="8" spans="1:13" x14ac:dyDescent="0.3">
      <c r="B8" s="7" t="s">
        <v>2</v>
      </c>
      <c r="C8" s="1">
        <v>8</v>
      </c>
      <c r="D8" s="1" t="s">
        <v>3</v>
      </c>
      <c r="F8" s="1" t="s">
        <v>47</v>
      </c>
      <c r="G8" s="1"/>
      <c r="H8" s="1"/>
      <c r="I8" s="16"/>
      <c r="J8" s="17"/>
      <c r="K8" s="1" t="s">
        <v>6</v>
      </c>
      <c r="L8" s="1">
        <f>((C6+C7)/2)*C8*C9</f>
        <v>336</v>
      </c>
      <c r="M8" s="1" t="s">
        <v>56</v>
      </c>
    </row>
    <row r="9" spans="1:13" x14ac:dyDescent="0.3">
      <c r="B9" s="1" t="s">
        <v>43</v>
      </c>
      <c r="C9" s="1">
        <v>21</v>
      </c>
      <c r="D9" s="1" t="s">
        <v>58</v>
      </c>
      <c r="F9" s="42"/>
      <c r="G9" s="42"/>
      <c r="H9" s="42"/>
      <c r="I9" s="16"/>
      <c r="J9" s="17"/>
      <c r="K9" s="1"/>
      <c r="L9" s="1"/>
      <c r="M9" s="1"/>
    </row>
    <row r="10" spans="1:13" x14ac:dyDescent="0.3">
      <c r="B10" s="1" t="s">
        <v>22</v>
      </c>
      <c r="C10" s="1">
        <v>10</v>
      </c>
      <c r="D10" s="1" t="s">
        <v>58</v>
      </c>
      <c r="F10" s="42" t="s">
        <v>48</v>
      </c>
      <c r="G10" s="42"/>
      <c r="H10" s="42"/>
      <c r="I10" s="16"/>
      <c r="J10" s="17"/>
      <c r="K10" s="1"/>
      <c r="L10" s="1"/>
      <c r="M10" s="1"/>
    </row>
    <row r="11" spans="1:13" x14ac:dyDescent="0.3">
      <c r="B11" s="1" t="s">
        <v>55</v>
      </c>
      <c r="C11" s="1">
        <v>25</v>
      </c>
      <c r="D11" s="1" t="s">
        <v>57</v>
      </c>
      <c r="F11" s="1" t="s">
        <v>49</v>
      </c>
      <c r="G11" s="1"/>
      <c r="H11" s="1"/>
      <c r="I11" s="16"/>
      <c r="J11" s="17"/>
      <c r="K11" s="1" t="s">
        <v>66</v>
      </c>
      <c r="L11" s="1">
        <f>0.5*C11*C8</f>
        <v>100</v>
      </c>
      <c r="M11" s="1" t="s">
        <v>56</v>
      </c>
    </row>
    <row r="12" spans="1:13" x14ac:dyDescent="0.3">
      <c r="B12" s="5"/>
      <c r="F12" s="42"/>
      <c r="G12" s="42"/>
      <c r="H12" s="42"/>
      <c r="I12" s="16"/>
      <c r="J12" s="17"/>
      <c r="K12" s="1"/>
      <c r="L12" s="1"/>
      <c r="M12" s="1"/>
    </row>
    <row r="13" spans="1:13" x14ac:dyDescent="0.3">
      <c r="B13" s="5"/>
      <c r="F13" s="45" t="s">
        <v>50</v>
      </c>
      <c r="G13" s="46"/>
      <c r="H13" s="47"/>
      <c r="I13" s="16"/>
      <c r="J13" s="17"/>
      <c r="K13" s="1"/>
      <c r="L13" s="1"/>
      <c r="M13" s="1"/>
    </row>
    <row r="14" spans="1:13" x14ac:dyDescent="0.3">
      <c r="F14" s="45"/>
      <c r="G14" s="46"/>
      <c r="H14" s="47"/>
      <c r="I14" s="16"/>
      <c r="J14" s="17"/>
      <c r="K14" s="1" t="s">
        <v>52</v>
      </c>
      <c r="L14" s="14">
        <f>(C6^2+(C6*C7)+C7^2)/(3*(C6+C7))</f>
        <v>1.0833333333333333</v>
      </c>
      <c r="M14" s="1" t="s">
        <v>3</v>
      </c>
    </row>
    <row r="15" spans="1:13" x14ac:dyDescent="0.3">
      <c r="F15" s="45"/>
      <c r="G15" s="46"/>
      <c r="H15" s="47"/>
      <c r="I15" s="16"/>
      <c r="J15" s="17"/>
      <c r="K15" s="1"/>
      <c r="L15" s="14"/>
      <c r="M15" s="1"/>
    </row>
    <row r="16" spans="1:13" x14ac:dyDescent="0.3">
      <c r="F16" s="45"/>
      <c r="G16" s="46"/>
      <c r="H16" s="47"/>
      <c r="I16" s="16"/>
      <c r="J16" s="17"/>
      <c r="K16" s="1"/>
      <c r="L16" s="14"/>
      <c r="M16" s="1"/>
    </row>
    <row r="17" spans="2:13" x14ac:dyDescent="0.3">
      <c r="F17" s="45" t="s">
        <v>61</v>
      </c>
      <c r="G17" s="46"/>
      <c r="H17" s="47"/>
      <c r="I17" s="16"/>
      <c r="J17" s="17"/>
      <c r="K17" s="1" t="s">
        <v>51</v>
      </c>
      <c r="L17" s="14">
        <f>L14+(C8/3)*(L11/L8)</f>
        <v>1.876984126984127</v>
      </c>
      <c r="M17" s="1" t="s">
        <v>3</v>
      </c>
    </row>
    <row r="18" spans="2:13" x14ac:dyDescent="0.3">
      <c r="F18" s="45"/>
      <c r="G18" s="46"/>
      <c r="H18" s="47"/>
      <c r="I18" s="16"/>
      <c r="J18" s="17"/>
      <c r="K18" s="1"/>
      <c r="L18" s="14"/>
      <c r="M18" s="1"/>
    </row>
    <row r="19" spans="2:13" x14ac:dyDescent="0.3">
      <c r="F19" s="45" t="s">
        <v>60</v>
      </c>
      <c r="G19" s="46"/>
      <c r="H19" s="47"/>
      <c r="I19" s="45" t="s">
        <v>63</v>
      </c>
      <c r="J19" s="47"/>
      <c r="K19" s="1"/>
      <c r="L19" s="14"/>
      <c r="M19" s="1"/>
    </row>
    <row r="20" spans="2:13" x14ac:dyDescent="0.3">
      <c r="F20" s="45" t="s">
        <v>53</v>
      </c>
      <c r="G20" s="46"/>
      <c r="H20" s="47"/>
      <c r="I20" s="16"/>
      <c r="J20" s="17"/>
      <c r="K20" s="1" t="s">
        <v>54</v>
      </c>
      <c r="L20" s="14">
        <f>L17-(C7/2)</f>
        <v>0.37698412698412698</v>
      </c>
      <c r="M20" s="1" t="s">
        <v>57</v>
      </c>
    </row>
    <row r="21" spans="2:13" x14ac:dyDescent="0.3">
      <c r="F21" s="1" t="s">
        <v>73</v>
      </c>
      <c r="G21" s="1"/>
      <c r="H21" s="1"/>
      <c r="I21" s="16"/>
      <c r="J21" s="17"/>
      <c r="K21" s="1" t="s">
        <v>65</v>
      </c>
      <c r="L21" s="14">
        <f>(L8/C7)*(1+(6*L20)/C7)</f>
        <v>196.44444444444446</v>
      </c>
      <c r="M21" s="1" t="s">
        <v>57</v>
      </c>
    </row>
    <row r="22" spans="2:13" x14ac:dyDescent="0.3">
      <c r="F22" s="1" t="s">
        <v>74</v>
      </c>
      <c r="G22" s="1"/>
      <c r="H22" s="1"/>
      <c r="I22" s="16"/>
      <c r="J22" s="17"/>
      <c r="K22" s="1" t="s">
        <v>64</v>
      </c>
      <c r="L22" s="14">
        <f>(L8/C7)*(1-(6*L20)/C7)</f>
        <v>27.555555555555557</v>
      </c>
      <c r="M22" s="1" t="s">
        <v>57</v>
      </c>
    </row>
    <row r="23" spans="2:13" x14ac:dyDescent="0.3">
      <c r="F23" s="44"/>
      <c r="G23" s="44"/>
      <c r="H23" s="44"/>
      <c r="I23" s="44"/>
      <c r="J23" s="44"/>
    </row>
    <row r="24" spans="2:13" x14ac:dyDescent="0.3">
      <c r="F24" s="40"/>
      <c r="G24" s="40"/>
      <c r="H24" s="40"/>
      <c r="I24" s="40"/>
      <c r="J24" s="40"/>
    </row>
    <row r="25" spans="2:13" x14ac:dyDescent="0.3">
      <c r="I25" s="40"/>
      <c r="J25" s="40"/>
    </row>
    <row r="26" spans="2:13" x14ac:dyDescent="0.3">
      <c r="I26" s="40"/>
      <c r="J26" s="40"/>
    </row>
    <row r="30" spans="2:13" ht="76.2" customHeight="1" x14ac:dyDescent="0.3">
      <c r="B30" s="41" t="s">
        <v>67</v>
      </c>
      <c r="C30" s="41"/>
      <c r="D30" s="41"/>
      <c r="E30" s="41"/>
      <c r="F30" s="41"/>
      <c r="G30" s="41"/>
      <c r="H30" s="41"/>
    </row>
    <row r="32" spans="2:13" x14ac:dyDescent="0.3">
      <c r="C32" s="41" t="s">
        <v>67</v>
      </c>
      <c r="D32" s="41"/>
      <c r="E32" s="41"/>
      <c r="F32" s="41"/>
      <c r="G32" s="41"/>
      <c r="H32" s="41"/>
      <c r="I32" s="41"/>
    </row>
    <row r="33" spans="2:13" x14ac:dyDescent="0.3">
      <c r="B33" s="1" t="s">
        <v>41</v>
      </c>
      <c r="C33" s="1">
        <v>1.2</v>
      </c>
      <c r="D33" s="1" t="s">
        <v>3</v>
      </c>
    </row>
    <row r="34" spans="2:13" x14ac:dyDescent="0.3">
      <c r="B34" s="1" t="s">
        <v>5</v>
      </c>
      <c r="C34" s="1">
        <v>3.2</v>
      </c>
      <c r="D34" s="1" t="s">
        <v>3</v>
      </c>
      <c r="F34" s="42" t="s">
        <v>46</v>
      </c>
      <c r="G34" s="42"/>
      <c r="H34" s="42"/>
      <c r="I34" s="42"/>
      <c r="J34" s="42"/>
      <c r="K34" s="1"/>
      <c r="L34" s="1"/>
      <c r="M34" s="1"/>
    </row>
    <row r="35" spans="2:13" x14ac:dyDescent="0.3">
      <c r="B35" s="7" t="s">
        <v>2</v>
      </c>
      <c r="C35" s="1">
        <v>5</v>
      </c>
      <c r="D35" s="1" t="s">
        <v>3</v>
      </c>
      <c r="F35" s="1" t="s">
        <v>47</v>
      </c>
      <c r="G35" s="1"/>
      <c r="H35" s="1"/>
      <c r="I35" s="42"/>
      <c r="J35" s="42"/>
      <c r="K35" s="1" t="s">
        <v>6</v>
      </c>
      <c r="L35" s="1">
        <f>((C33+C34)/2)*C35*C36</f>
        <v>246.39999999999998</v>
      </c>
      <c r="M35" s="1" t="s">
        <v>56</v>
      </c>
    </row>
    <row r="36" spans="2:13" x14ac:dyDescent="0.3">
      <c r="B36" s="1" t="s">
        <v>43</v>
      </c>
      <c r="C36" s="1">
        <v>22.4</v>
      </c>
      <c r="D36" s="1" t="s">
        <v>58</v>
      </c>
      <c r="F36" s="42"/>
      <c r="G36" s="42"/>
      <c r="H36" s="42"/>
      <c r="I36" s="42"/>
      <c r="J36" s="42"/>
      <c r="K36" s="1"/>
      <c r="L36" s="1"/>
      <c r="M36" s="1"/>
    </row>
    <row r="37" spans="2:13" x14ac:dyDescent="0.3">
      <c r="B37" s="1" t="s">
        <v>22</v>
      </c>
      <c r="C37" s="1">
        <v>10</v>
      </c>
      <c r="D37" s="1" t="s">
        <v>58</v>
      </c>
      <c r="F37" s="42" t="s">
        <v>48</v>
      </c>
      <c r="G37" s="42"/>
      <c r="H37" s="42"/>
      <c r="I37" s="42"/>
      <c r="J37" s="42"/>
      <c r="K37" s="1"/>
      <c r="L37" s="1"/>
      <c r="M37" s="1"/>
    </row>
    <row r="38" spans="2:13" x14ac:dyDescent="0.3">
      <c r="F38" s="1" t="s">
        <v>49</v>
      </c>
      <c r="G38" s="1"/>
      <c r="H38" s="1"/>
      <c r="I38" s="42"/>
      <c r="J38" s="42"/>
      <c r="K38" s="1" t="s">
        <v>66</v>
      </c>
      <c r="L38" s="1">
        <f>0.5*C35^2*C37</f>
        <v>125</v>
      </c>
      <c r="M38" s="1" t="s">
        <v>56</v>
      </c>
    </row>
    <row r="39" spans="2:13" x14ac:dyDescent="0.3">
      <c r="F39" s="42"/>
      <c r="G39" s="42"/>
      <c r="H39" s="42"/>
      <c r="I39" s="42"/>
      <c r="J39" s="42"/>
      <c r="K39" s="1"/>
      <c r="L39" s="1"/>
      <c r="M39" s="1"/>
    </row>
    <row r="40" spans="2:13" x14ac:dyDescent="0.3">
      <c r="F40" s="42" t="s">
        <v>50</v>
      </c>
      <c r="G40" s="42"/>
      <c r="H40" s="42"/>
      <c r="I40" s="42"/>
      <c r="J40" s="42"/>
      <c r="K40" s="1"/>
      <c r="L40" s="1"/>
      <c r="M40" s="1"/>
    </row>
    <row r="41" spans="2:13" x14ac:dyDescent="0.3">
      <c r="F41" s="42"/>
      <c r="G41" s="42"/>
      <c r="H41" s="42"/>
      <c r="I41" s="42"/>
      <c r="J41" s="42"/>
      <c r="K41" s="1" t="s">
        <v>52</v>
      </c>
      <c r="L41" s="15">
        <f>(C33^2+(C33*C34)+C34^2)/(3*(C33+C34))</f>
        <v>1.1757575757575758</v>
      </c>
      <c r="M41" s="15" t="s">
        <v>3</v>
      </c>
    </row>
    <row r="42" spans="2:13" x14ac:dyDescent="0.3">
      <c r="F42" s="42"/>
      <c r="G42" s="42"/>
      <c r="H42" s="42"/>
      <c r="I42" s="42"/>
      <c r="J42" s="42"/>
      <c r="K42" s="1"/>
      <c r="L42" s="15"/>
      <c r="M42" s="15"/>
    </row>
    <row r="43" spans="2:13" x14ac:dyDescent="0.3">
      <c r="F43" s="42"/>
      <c r="G43" s="42"/>
      <c r="H43" s="42"/>
      <c r="I43" s="42"/>
      <c r="J43" s="42"/>
      <c r="K43" s="1"/>
      <c r="L43" s="15"/>
      <c r="M43" s="15"/>
    </row>
    <row r="44" spans="2:13" x14ac:dyDescent="0.3">
      <c r="F44" s="42" t="s">
        <v>61</v>
      </c>
      <c r="G44" s="42"/>
      <c r="H44" s="42"/>
      <c r="I44" s="42"/>
      <c r="J44" s="42"/>
      <c r="K44" s="1" t="s">
        <v>51</v>
      </c>
      <c r="L44" s="15">
        <f>L41+(C35/3)*(L38/L35)</f>
        <v>2.0212662337662337</v>
      </c>
      <c r="M44" s="15" t="s">
        <v>3</v>
      </c>
    </row>
    <row r="45" spans="2:13" x14ac:dyDescent="0.3">
      <c r="F45" s="42"/>
      <c r="G45" s="42"/>
      <c r="H45" s="42"/>
      <c r="I45" s="42"/>
      <c r="J45" s="42"/>
      <c r="K45" s="1"/>
      <c r="L45" s="15"/>
      <c r="M45" s="15"/>
    </row>
    <row r="46" spans="2:13" x14ac:dyDescent="0.3">
      <c r="F46" s="42" t="s">
        <v>60</v>
      </c>
      <c r="G46" s="42"/>
      <c r="H46" s="42"/>
      <c r="I46" s="42" t="s">
        <v>63</v>
      </c>
      <c r="J46" s="42"/>
      <c r="K46" s="1"/>
      <c r="L46" s="15"/>
      <c r="M46" s="15"/>
    </row>
    <row r="47" spans="2:13" x14ac:dyDescent="0.3">
      <c r="F47" s="42" t="s">
        <v>53</v>
      </c>
      <c r="G47" s="42"/>
      <c r="H47" s="42"/>
      <c r="I47" s="42"/>
      <c r="J47" s="42"/>
      <c r="K47" s="1" t="s">
        <v>54</v>
      </c>
      <c r="L47" s="15">
        <f>L44-(C34/2)</f>
        <v>0.42126623376623362</v>
      </c>
      <c r="M47" s="15" t="s">
        <v>57</v>
      </c>
    </row>
    <row r="48" spans="2:13" x14ac:dyDescent="0.3">
      <c r="F48" s="1" t="s">
        <v>73</v>
      </c>
      <c r="G48" s="1"/>
      <c r="H48" s="1"/>
      <c r="I48" s="42"/>
      <c r="J48" s="42"/>
      <c r="K48" s="1" t="s">
        <v>65</v>
      </c>
      <c r="L48" s="15">
        <f>(L35/C34)*(1+(6*L47)/C34)</f>
        <v>137.82031249999994</v>
      </c>
      <c r="M48" s="15" t="s">
        <v>57</v>
      </c>
    </row>
    <row r="49" spans="3:15" x14ac:dyDescent="0.3">
      <c r="F49" s="1" t="s">
        <v>74</v>
      </c>
      <c r="G49" s="1"/>
      <c r="H49" s="1"/>
      <c r="I49" s="42"/>
      <c r="J49" s="42"/>
      <c r="K49" s="1" t="s">
        <v>64</v>
      </c>
      <c r="L49" s="15">
        <f>(L35/C34)*(1-(6*L47)/C34)</f>
        <v>16.179687500000021</v>
      </c>
      <c r="M49" s="15" t="s">
        <v>57</v>
      </c>
    </row>
    <row r="50" spans="3:15" x14ac:dyDescent="0.3">
      <c r="F50" s="42" t="s">
        <v>59</v>
      </c>
      <c r="G50" s="42"/>
      <c r="H50" s="42"/>
      <c r="I50" s="42" t="s">
        <v>62</v>
      </c>
      <c r="J50" s="42"/>
      <c r="K50" s="1"/>
      <c r="L50" s="15"/>
      <c r="M50" s="15"/>
    </row>
    <row r="51" spans="3:15" x14ac:dyDescent="0.3">
      <c r="F51" s="42" t="s">
        <v>53</v>
      </c>
      <c r="G51" s="42"/>
      <c r="H51" s="42"/>
      <c r="I51" s="42"/>
      <c r="J51" s="42"/>
      <c r="K51" s="1" t="s">
        <v>54</v>
      </c>
      <c r="L51" s="15">
        <f>(C34/2)-L41</f>
        <v>0.42424242424242431</v>
      </c>
      <c r="M51" s="15" t="s">
        <v>57</v>
      </c>
    </row>
    <row r="52" spans="3:15" x14ac:dyDescent="0.3">
      <c r="F52" s="1" t="s">
        <v>73</v>
      </c>
      <c r="G52" s="1"/>
      <c r="H52" s="1"/>
      <c r="I52" s="42"/>
      <c r="J52" s="42"/>
      <c r="K52" s="1" t="s">
        <v>65</v>
      </c>
      <c r="L52" s="15">
        <f>(L35/C34)*(1+(6*L51)/C34)</f>
        <v>138.24999999999997</v>
      </c>
      <c r="M52" s="15" t="s">
        <v>57</v>
      </c>
    </row>
    <row r="53" spans="3:15" x14ac:dyDescent="0.3">
      <c r="F53" s="1" t="s">
        <v>74</v>
      </c>
      <c r="G53" s="1"/>
      <c r="H53" s="1"/>
      <c r="I53" s="42"/>
      <c r="J53" s="42"/>
      <c r="K53" s="1" t="s">
        <v>64</v>
      </c>
      <c r="L53" s="15">
        <f>(L35/C34)*(1-(6*L51)/C34)</f>
        <v>15.749999999999991</v>
      </c>
      <c r="M53" s="15" t="s">
        <v>57</v>
      </c>
    </row>
    <row r="54" spans="3:15" ht="15.6" customHeight="1" x14ac:dyDescent="0.3"/>
    <row r="57" spans="3:15" ht="70.8" customHeight="1" x14ac:dyDescent="0.3">
      <c r="C57" s="41" t="s">
        <v>72</v>
      </c>
      <c r="D57" s="41"/>
      <c r="E57" s="41"/>
      <c r="F57" s="41"/>
      <c r="G57" s="41"/>
      <c r="H57" s="41"/>
    </row>
    <row r="60" spans="3:15" x14ac:dyDescent="0.3">
      <c r="D60" s="1" t="s">
        <v>44</v>
      </c>
      <c r="E60" s="1" t="s">
        <v>68</v>
      </c>
      <c r="F60" s="1" t="s">
        <v>45</v>
      </c>
    </row>
    <row r="61" spans="3:15" x14ac:dyDescent="0.3">
      <c r="D61" s="1" t="s">
        <v>41</v>
      </c>
      <c r="E61" s="1">
        <v>2</v>
      </c>
      <c r="F61" s="1" t="s">
        <v>3</v>
      </c>
    </row>
    <row r="62" spans="3:15" x14ac:dyDescent="0.3">
      <c r="D62" s="1" t="s">
        <v>5</v>
      </c>
      <c r="E62" s="1">
        <v>7</v>
      </c>
      <c r="F62" s="1" t="s">
        <v>3</v>
      </c>
      <c r="H62" s="42" t="s">
        <v>46</v>
      </c>
      <c r="I62" s="42"/>
      <c r="J62" s="42"/>
      <c r="K62" s="6"/>
      <c r="L62" s="1"/>
      <c r="M62" s="1"/>
      <c r="N62" s="1"/>
      <c r="O62" s="1"/>
    </row>
    <row r="63" spans="3:15" x14ac:dyDescent="0.3">
      <c r="D63" s="7" t="s">
        <v>2</v>
      </c>
      <c r="E63" s="1">
        <v>16</v>
      </c>
      <c r="F63" s="1" t="s">
        <v>3</v>
      </c>
      <c r="H63" s="1" t="s">
        <v>47</v>
      </c>
      <c r="I63" s="1"/>
      <c r="J63" s="1"/>
      <c r="K63" s="6"/>
      <c r="L63" s="1"/>
      <c r="M63" s="1" t="s">
        <v>6</v>
      </c>
      <c r="N63" s="15">
        <f>((E61+E62)/2)*E63*E65</f>
        <v>1728</v>
      </c>
      <c r="O63" s="1" t="s">
        <v>56</v>
      </c>
    </row>
    <row r="64" spans="3:15" x14ac:dyDescent="0.3">
      <c r="D64" s="7" t="s">
        <v>42</v>
      </c>
      <c r="E64" s="1">
        <v>15</v>
      </c>
      <c r="F64" s="1" t="s">
        <v>3</v>
      </c>
      <c r="H64" s="42"/>
      <c r="I64" s="42"/>
      <c r="J64" s="42"/>
      <c r="K64" s="6"/>
      <c r="L64" s="1"/>
      <c r="M64" s="1"/>
      <c r="N64" s="15"/>
      <c r="O64" s="1"/>
    </row>
    <row r="65" spans="4:15" x14ac:dyDescent="0.3">
      <c r="D65" s="1" t="s">
        <v>43</v>
      </c>
      <c r="E65" s="1">
        <v>24</v>
      </c>
      <c r="F65" s="1" t="s">
        <v>58</v>
      </c>
      <c r="H65" s="42" t="s">
        <v>48</v>
      </c>
      <c r="I65" s="42"/>
      <c r="J65" s="42"/>
      <c r="K65" s="6"/>
      <c r="L65" s="1"/>
      <c r="M65" s="1"/>
      <c r="N65" s="15"/>
      <c r="O65" s="1"/>
    </row>
    <row r="66" spans="4:15" x14ac:dyDescent="0.3">
      <c r="D66" s="1" t="s">
        <v>22</v>
      </c>
      <c r="E66" s="1">
        <v>10</v>
      </c>
      <c r="F66" s="1" t="s">
        <v>58</v>
      </c>
      <c r="H66" s="1" t="s">
        <v>49</v>
      </c>
      <c r="I66" s="1"/>
      <c r="J66" s="1"/>
      <c r="K66" s="6"/>
      <c r="L66" s="1"/>
      <c r="M66" s="1" t="s">
        <v>66</v>
      </c>
      <c r="N66" s="15"/>
      <c r="O66" s="1"/>
    </row>
    <row r="67" spans="4:15" x14ac:dyDescent="0.3">
      <c r="H67" s="42"/>
      <c r="I67" s="42"/>
      <c r="J67" s="42"/>
      <c r="K67" s="6"/>
      <c r="L67" s="1"/>
      <c r="M67" s="1"/>
      <c r="N67" s="15">
        <f>0.5*E64^2*E66</f>
        <v>1125</v>
      </c>
      <c r="O67" s="1" t="s">
        <v>56</v>
      </c>
    </row>
    <row r="68" spans="4:15" x14ac:dyDescent="0.3">
      <c r="H68" s="42" t="s">
        <v>50</v>
      </c>
      <c r="I68" s="42"/>
      <c r="J68" s="42"/>
      <c r="K68" s="6"/>
      <c r="L68" s="1"/>
      <c r="M68" s="1"/>
      <c r="N68" s="15"/>
      <c r="O68" s="1"/>
    </row>
    <row r="69" spans="4:15" x14ac:dyDescent="0.3">
      <c r="H69" s="42"/>
      <c r="I69" s="42"/>
      <c r="J69" s="42"/>
      <c r="K69" s="6"/>
      <c r="L69" s="1"/>
      <c r="M69" s="1"/>
      <c r="N69" s="15"/>
      <c r="O69" s="1"/>
    </row>
    <row r="70" spans="4:15" x14ac:dyDescent="0.3">
      <c r="H70" s="42"/>
      <c r="I70" s="42"/>
      <c r="J70" s="42"/>
      <c r="K70" s="6"/>
      <c r="L70" s="1"/>
      <c r="M70" s="1" t="s">
        <v>52</v>
      </c>
      <c r="N70" s="15">
        <f>(E61^2+(E61*E62)+E62^2)/(3*(E61+E62))</f>
        <v>2.4814814814814814</v>
      </c>
      <c r="O70" s="1" t="s">
        <v>3</v>
      </c>
    </row>
    <row r="71" spans="4:15" x14ac:dyDescent="0.3">
      <c r="H71" s="42"/>
      <c r="I71" s="42"/>
      <c r="J71" s="42"/>
      <c r="K71" s="6"/>
      <c r="L71" s="1"/>
      <c r="M71" s="1"/>
      <c r="N71" s="15"/>
      <c r="O71" s="1"/>
    </row>
    <row r="72" spans="4:15" x14ac:dyDescent="0.3">
      <c r="H72" s="42" t="s">
        <v>61</v>
      </c>
      <c r="I72" s="42"/>
      <c r="J72" s="42"/>
      <c r="K72" s="6"/>
      <c r="L72" s="1"/>
      <c r="M72" s="1"/>
      <c r="N72" s="15"/>
      <c r="O72" s="1"/>
    </row>
    <row r="73" spans="4:15" x14ac:dyDescent="0.3">
      <c r="H73" s="42"/>
      <c r="I73" s="42"/>
      <c r="J73" s="42"/>
      <c r="K73" s="6"/>
      <c r="L73" s="1"/>
      <c r="M73" s="1" t="s">
        <v>51</v>
      </c>
      <c r="N73" s="15">
        <f>N70+(E64/3)*(N67/N63)</f>
        <v>5.7366898148148149</v>
      </c>
      <c r="O73" s="1" t="s">
        <v>3</v>
      </c>
    </row>
    <row r="74" spans="4:15" x14ac:dyDescent="0.3">
      <c r="H74" s="42" t="s">
        <v>60</v>
      </c>
      <c r="I74" s="42"/>
      <c r="J74" s="42"/>
      <c r="K74" s="6"/>
      <c r="L74" s="1"/>
      <c r="M74" s="1"/>
      <c r="N74" s="15"/>
      <c r="O74" s="1"/>
    </row>
    <row r="75" spans="4:15" x14ac:dyDescent="0.3">
      <c r="H75" s="42" t="s">
        <v>53</v>
      </c>
      <c r="I75" s="42"/>
      <c r="J75" s="42"/>
      <c r="K75" s="6"/>
      <c r="L75" s="1"/>
      <c r="M75" s="1" t="s">
        <v>54</v>
      </c>
      <c r="N75" s="15">
        <f>N73-(E62/2)</f>
        <v>2.2366898148148149</v>
      </c>
      <c r="O75" s="1" t="s">
        <v>57</v>
      </c>
    </row>
    <row r="76" spans="4:15" x14ac:dyDescent="0.3">
      <c r="H76" s="1" t="s">
        <v>73</v>
      </c>
      <c r="I76" s="1"/>
      <c r="J76" s="1"/>
      <c r="K76" s="6"/>
      <c r="L76" s="1"/>
      <c r="M76" s="1" t="s">
        <v>65</v>
      </c>
      <c r="N76" s="15">
        <f>(N63/E62)*(1+(6*N75)/E62)</f>
        <v>720.12244897959192</v>
      </c>
      <c r="O76" s="1" t="s">
        <v>57</v>
      </c>
    </row>
    <row r="77" spans="4:15" x14ac:dyDescent="0.3">
      <c r="H77" s="1" t="s">
        <v>74</v>
      </c>
      <c r="I77" s="1"/>
      <c r="J77" s="1"/>
      <c r="K77" s="6"/>
      <c r="L77" s="1"/>
      <c r="M77" s="1" t="s">
        <v>64</v>
      </c>
      <c r="N77" s="15">
        <f>(N63/E62)*(1-(6*N75)/E62)</f>
        <v>-226.40816326530611</v>
      </c>
      <c r="O77" s="1" t="s">
        <v>57</v>
      </c>
    </row>
    <row r="78" spans="4:15" x14ac:dyDescent="0.3">
      <c r="H78" s="42" t="s">
        <v>59</v>
      </c>
      <c r="I78" s="42"/>
      <c r="J78" s="42"/>
      <c r="K78" s="6"/>
      <c r="L78" s="1"/>
      <c r="M78" s="1"/>
      <c r="N78" s="15"/>
      <c r="O78" s="1"/>
    </row>
    <row r="79" spans="4:15" x14ac:dyDescent="0.3">
      <c r="H79" s="42" t="s">
        <v>53</v>
      </c>
      <c r="I79" s="42"/>
      <c r="J79" s="42"/>
      <c r="K79" s="6"/>
      <c r="L79" s="1"/>
      <c r="M79" s="1" t="s">
        <v>54</v>
      </c>
      <c r="N79" s="15">
        <f>(E62/2)-N70</f>
        <v>1.0185185185185186</v>
      </c>
      <c r="O79" s="1" t="s">
        <v>57</v>
      </c>
    </row>
    <row r="80" spans="4:15" x14ac:dyDescent="0.3">
      <c r="H80" s="1" t="s">
        <v>73</v>
      </c>
      <c r="I80" s="1"/>
      <c r="J80" s="1"/>
      <c r="K80" s="6"/>
      <c r="L80" s="1"/>
      <c r="M80" s="1" t="s">
        <v>65</v>
      </c>
      <c r="N80" s="15">
        <f>(N63/E62)*(1+(6*N79)/E62)</f>
        <v>462.36734693877554</v>
      </c>
      <c r="O80" s="1" t="s">
        <v>57</v>
      </c>
    </row>
    <row r="81" spans="6:17" x14ac:dyDescent="0.3">
      <c r="H81" s="1" t="s">
        <v>74</v>
      </c>
      <c r="I81" s="1"/>
      <c r="J81" s="1"/>
      <c r="K81" s="6"/>
      <c r="L81" s="1"/>
      <c r="M81" s="1" t="s">
        <v>64</v>
      </c>
      <c r="N81" s="15">
        <f>(N63/E62)*(1-(6*N79)/E62)</f>
        <v>31.346938775510175</v>
      </c>
      <c r="O81" s="1" t="s">
        <v>57</v>
      </c>
    </row>
    <row r="85" spans="6:17" ht="120" customHeight="1" x14ac:dyDescent="0.3">
      <c r="F85" s="43" t="s">
        <v>69</v>
      </c>
      <c r="G85" s="43"/>
      <c r="H85" s="43"/>
      <c r="I85" s="43"/>
      <c r="J85" s="43"/>
    </row>
    <row r="89" spans="6:17" x14ac:dyDescent="0.3">
      <c r="F89" s="1" t="s">
        <v>44</v>
      </c>
      <c r="G89" s="1" t="s">
        <v>68</v>
      </c>
      <c r="H89" s="1" t="s">
        <v>45</v>
      </c>
    </row>
    <row r="90" spans="6:17" x14ac:dyDescent="0.3">
      <c r="F90" s="1" t="s">
        <v>41</v>
      </c>
      <c r="G90" s="1">
        <v>3</v>
      </c>
      <c r="H90" s="1" t="s">
        <v>3</v>
      </c>
    </row>
    <row r="91" spans="6:17" x14ac:dyDescent="0.3">
      <c r="F91" s="1" t="s">
        <v>5</v>
      </c>
      <c r="G91" s="1">
        <v>8</v>
      </c>
      <c r="H91" s="1" t="s">
        <v>3</v>
      </c>
      <c r="I91" s="42" t="s">
        <v>46</v>
      </c>
      <c r="J91" s="42"/>
      <c r="K91" s="42"/>
      <c r="L91" s="42"/>
      <c r="M91" s="42"/>
      <c r="N91" s="1"/>
      <c r="O91" s="1"/>
      <c r="P91" s="1"/>
      <c r="Q91" s="1"/>
    </row>
    <row r="92" spans="6:17" x14ac:dyDescent="0.3">
      <c r="F92" s="7" t="s">
        <v>2</v>
      </c>
      <c r="G92" s="1">
        <v>16</v>
      </c>
      <c r="H92" s="1" t="s">
        <v>3</v>
      </c>
      <c r="I92" s="1" t="s">
        <v>47</v>
      </c>
      <c r="J92" s="1"/>
      <c r="K92" s="42"/>
      <c r="L92" s="42"/>
      <c r="M92" s="42"/>
      <c r="N92" s="1"/>
      <c r="O92" s="1" t="s">
        <v>6</v>
      </c>
      <c r="P92" s="15">
        <f>((G90+G91)/2)*G92*G93</f>
        <v>2200</v>
      </c>
      <c r="Q92" s="1" t="s">
        <v>56</v>
      </c>
    </row>
    <row r="93" spans="6:17" x14ac:dyDescent="0.3">
      <c r="F93" s="1" t="s">
        <v>43</v>
      </c>
      <c r="G93" s="1">
        <v>25</v>
      </c>
      <c r="H93" s="1" t="s">
        <v>58</v>
      </c>
      <c r="I93" s="42"/>
      <c r="J93" s="42"/>
      <c r="K93" s="42"/>
      <c r="L93" s="42"/>
      <c r="M93" s="42"/>
      <c r="N93" s="1"/>
      <c r="O93" s="1"/>
      <c r="P93" s="15"/>
      <c r="Q93" s="1"/>
    </row>
    <row r="94" spans="6:17" x14ac:dyDescent="0.3">
      <c r="F94" s="1" t="s">
        <v>22</v>
      </c>
      <c r="G94" s="1">
        <v>10</v>
      </c>
      <c r="H94" s="1" t="s">
        <v>58</v>
      </c>
      <c r="I94" s="42" t="s">
        <v>48</v>
      </c>
      <c r="J94" s="42"/>
      <c r="K94" s="42"/>
      <c r="L94" s="42"/>
      <c r="M94" s="42"/>
      <c r="N94" s="1"/>
      <c r="O94" s="1"/>
      <c r="P94" s="15"/>
      <c r="Q94" s="1"/>
    </row>
    <row r="95" spans="6:17" x14ac:dyDescent="0.3">
      <c r="I95" s="1" t="s">
        <v>49</v>
      </c>
      <c r="J95" s="1"/>
      <c r="K95" s="42"/>
      <c r="L95" s="42"/>
      <c r="M95" s="42"/>
      <c r="N95" s="1"/>
      <c r="O95" s="1" t="s">
        <v>66</v>
      </c>
      <c r="P95" s="15">
        <f>0.5*G92^2*G94</f>
        <v>1280</v>
      </c>
      <c r="Q95" s="1" t="s">
        <v>56</v>
      </c>
    </row>
    <row r="96" spans="6:17" x14ac:dyDescent="0.3">
      <c r="I96" s="42" t="s">
        <v>70</v>
      </c>
      <c r="J96" s="42"/>
      <c r="K96" s="42"/>
      <c r="L96" s="42"/>
      <c r="M96" s="42"/>
      <c r="N96" s="1"/>
      <c r="O96" s="1" t="s">
        <v>13</v>
      </c>
      <c r="P96" s="15">
        <f>SQRT(P92^2+(P95^2))</f>
        <v>2545.2701231892852</v>
      </c>
      <c r="Q96" s="1" t="s">
        <v>56</v>
      </c>
    </row>
    <row r="97" spans="9:17" x14ac:dyDescent="0.3">
      <c r="I97" s="42" t="s">
        <v>50</v>
      </c>
      <c r="J97" s="42"/>
      <c r="K97" s="42"/>
      <c r="L97" s="42"/>
      <c r="M97" s="42"/>
      <c r="N97" s="1"/>
      <c r="O97" s="1"/>
      <c r="P97" s="15"/>
      <c r="Q97" s="1"/>
    </row>
    <row r="98" spans="9:17" x14ac:dyDescent="0.3">
      <c r="I98" s="42"/>
      <c r="J98" s="42"/>
      <c r="K98" s="42"/>
      <c r="L98" s="42"/>
      <c r="M98" s="42"/>
      <c r="N98" s="1"/>
      <c r="O98" s="1" t="s">
        <v>52</v>
      </c>
      <c r="P98" s="15">
        <f>(G90^2+(G90*G91)+G91^2)/(3*(G90+G91))</f>
        <v>2.9393939393939394</v>
      </c>
      <c r="Q98" s="1" t="s">
        <v>3</v>
      </c>
    </row>
    <row r="99" spans="9:17" x14ac:dyDescent="0.3">
      <c r="I99" s="42"/>
      <c r="J99" s="42"/>
      <c r="K99" s="42"/>
      <c r="L99" s="42"/>
      <c r="M99" s="42"/>
      <c r="N99" s="1"/>
      <c r="O99" s="1"/>
      <c r="P99" s="15"/>
      <c r="Q99" s="1"/>
    </row>
    <row r="100" spans="9:17" x14ac:dyDescent="0.3">
      <c r="I100" s="42"/>
      <c r="J100" s="42"/>
      <c r="K100" s="42"/>
      <c r="L100" s="42"/>
      <c r="M100" s="42"/>
      <c r="N100" s="1"/>
      <c r="O100" s="1"/>
      <c r="P100" s="15"/>
      <c r="Q100" s="1"/>
    </row>
    <row r="101" spans="9:17" x14ac:dyDescent="0.3">
      <c r="I101" s="42" t="s">
        <v>61</v>
      </c>
      <c r="J101" s="42"/>
      <c r="K101" s="42"/>
      <c r="L101" s="42"/>
      <c r="M101" s="42"/>
      <c r="N101" s="1"/>
      <c r="O101" s="1" t="s">
        <v>51</v>
      </c>
      <c r="P101" s="15">
        <f>P98+(G92/3)*(P95/P92)</f>
        <v>6.042424242424242</v>
      </c>
      <c r="Q101" s="1" t="s">
        <v>3</v>
      </c>
    </row>
    <row r="102" spans="9:17" x14ac:dyDescent="0.3">
      <c r="I102" s="42"/>
      <c r="J102" s="42"/>
      <c r="K102" s="42"/>
      <c r="L102" s="42"/>
      <c r="M102" s="42"/>
      <c r="N102" s="1"/>
      <c r="O102" s="1"/>
      <c r="P102" s="15"/>
      <c r="Q102" s="1"/>
    </row>
    <row r="103" spans="9:17" x14ac:dyDescent="0.3">
      <c r="I103" s="42" t="s">
        <v>60</v>
      </c>
      <c r="J103" s="42"/>
      <c r="K103" s="42" t="s">
        <v>63</v>
      </c>
      <c r="L103" s="42"/>
      <c r="M103" s="42"/>
      <c r="N103" s="1"/>
      <c r="O103" s="1"/>
      <c r="P103" s="15"/>
      <c r="Q103" s="1"/>
    </row>
    <row r="104" spans="9:17" x14ac:dyDescent="0.3">
      <c r="I104" s="42" t="s">
        <v>53</v>
      </c>
      <c r="J104" s="42"/>
      <c r="K104" s="42"/>
      <c r="L104" s="42"/>
      <c r="M104" s="42"/>
      <c r="N104" s="1"/>
      <c r="O104" s="1" t="s">
        <v>54</v>
      </c>
      <c r="P104" s="15">
        <f>P101-(G91/2)</f>
        <v>2.042424242424242</v>
      </c>
      <c r="Q104" s="1" t="s">
        <v>57</v>
      </c>
    </row>
    <row r="105" spans="9:17" x14ac:dyDescent="0.3">
      <c r="I105" s="1" t="s">
        <v>73</v>
      </c>
      <c r="J105" s="1"/>
      <c r="K105" s="42"/>
      <c r="L105" s="42"/>
      <c r="M105" s="42"/>
      <c r="N105" s="1"/>
      <c r="O105" s="1" t="s">
        <v>65</v>
      </c>
      <c r="P105" s="15">
        <f>(P92/G91)*(1+(6*P104)/G91)</f>
        <v>696.24999999999989</v>
      </c>
      <c r="Q105" s="1" t="s">
        <v>57</v>
      </c>
    </row>
    <row r="106" spans="9:17" x14ac:dyDescent="0.3">
      <c r="I106" s="1" t="s">
        <v>74</v>
      </c>
      <c r="J106" s="1"/>
      <c r="K106" s="42"/>
      <c r="L106" s="42"/>
      <c r="M106" s="42"/>
      <c r="N106" s="1"/>
      <c r="O106" s="1" t="s">
        <v>64</v>
      </c>
      <c r="P106" s="15">
        <f>(P92/G91)*(1-(6*P104)/G91)</f>
        <v>-146.24999999999991</v>
      </c>
      <c r="Q106" s="1" t="s">
        <v>57</v>
      </c>
    </row>
    <row r="107" spans="9:17" x14ac:dyDescent="0.3">
      <c r="I107" s="40"/>
      <c r="J107" s="40"/>
      <c r="K107" s="40"/>
      <c r="L107" s="40"/>
      <c r="M107" s="40"/>
    </row>
    <row r="108" spans="9:17" x14ac:dyDescent="0.3">
      <c r="I108" s="40"/>
      <c r="J108" s="40"/>
      <c r="K108" s="40"/>
      <c r="L108" s="40"/>
      <c r="M108" s="40"/>
    </row>
    <row r="109" spans="9:17" x14ac:dyDescent="0.3">
      <c r="K109" s="40"/>
      <c r="L109" s="40"/>
      <c r="M109" s="40"/>
    </row>
    <row r="110" spans="9:17" x14ac:dyDescent="0.3">
      <c r="K110" s="40"/>
      <c r="L110" s="40"/>
      <c r="M110" s="40"/>
    </row>
  </sheetData>
  <mergeCells count="106">
    <mergeCell ref="F40:H40"/>
    <mergeCell ref="F43:H43"/>
    <mergeCell ref="F46:H46"/>
    <mergeCell ref="F50:H50"/>
    <mergeCell ref="B3:G3"/>
    <mergeCell ref="B30:H30"/>
    <mergeCell ref="F36:H36"/>
    <mergeCell ref="F37:H37"/>
    <mergeCell ref="F34:H34"/>
    <mergeCell ref="F14:H14"/>
    <mergeCell ref="F18:H18"/>
    <mergeCell ref="I45:J45"/>
    <mergeCell ref="I48:J48"/>
    <mergeCell ref="I47:J47"/>
    <mergeCell ref="I46:J46"/>
    <mergeCell ref="I50:J50"/>
    <mergeCell ref="I34:J34"/>
    <mergeCell ref="I35:J35"/>
    <mergeCell ref="I36:J36"/>
    <mergeCell ref="I37:J37"/>
    <mergeCell ref="I38:J38"/>
    <mergeCell ref="I39:J39"/>
    <mergeCell ref="I40:J40"/>
    <mergeCell ref="F12:H12"/>
    <mergeCell ref="F13:H13"/>
    <mergeCell ref="H79:J79"/>
    <mergeCell ref="F7:H7"/>
    <mergeCell ref="F9:H9"/>
    <mergeCell ref="F10:H10"/>
    <mergeCell ref="H75:J75"/>
    <mergeCell ref="H78:J78"/>
    <mergeCell ref="H72:J72"/>
    <mergeCell ref="H73:J73"/>
    <mergeCell ref="H74:J74"/>
    <mergeCell ref="H69:J69"/>
    <mergeCell ref="H70:J70"/>
    <mergeCell ref="H71:J71"/>
    <mergeCell ref="H65:J65"/>
    <mergeCell ref="H67:J67"/>
    <mergeCell ref="H68:J68"/>
    <mergeCell ref="F51:H51"/>
    <mergeCell ref="H62:J62"/>
    <mergeCell ref="H64:J64"/>
    <mergeCell ref="I49:J49"/>
    <mergeCell ref="I51:J51"/>
    <mergeCell ref="I52:J52"/>
    <mergeCell ref="I53:J53"/>
    <mergeCell ref="F23:H23"/>
    <mergeCell ref="I23:J23"/>
    <mergeCell ref="F24:H24"/>
    <mergeCell ref="I24:J24"/>
    <mergeCell ref="I25:J25"/>
    <mergeCell ref="F19:H19"/>
    <mergeCell ref="I19:J19"/>
    <mergeCell ref="F20:H20"/>
    <mergeCell ref="F15:H15"/>
    <mergeCell ref="F16:H16"/>
    <mergeCell ref="F17:H17"/>
    <mergeCell ref="K94:M94"/>
    <mergeCell ref="K95:M95"/>
    <mergeCell ref="I96:J96"/>
    <mergeCell ref="K96:M96"/>
    <mergeCell ref="I97:J97"/>
    <mergeCell ref="K97:M97"/>
    <mergeCell ref="I26:J26"/>
    <mergeCell ref="F85:J85"/>
    <mergeCell ref="I91:J91"/>
    <mergeCell ref="K91:M91"/>
    <mergeCell ref="K92:M92"/>
    <mergeCell ref="I93:J93"/>
    <mergeCell ref="K93:M93"/>
    <mergeCell ref="C32:I32"/>
    <mergeCell ref="F39:H39"/>
    <mergeCell ref="F41:H41"/>
    <mergeCell ref="F42:H42"/>
    <mergeCell ref="F44:H44"/>
    <mergeCell ref="F45:H45"/>
    <mergeCell ref="F47:H47"/>
    <mergeCell ref="I41:J41"/>
    <mergeCell ref="I42:J42"/>
    <mergeCell ref="I43:J43"/>
    <mergeCell ref="I44:J44"/>
    <mergeCell ref="I108:J108"/>
    <mergeCell ref="K108:M108"/>
    <mergeCell ref="K109:M109"/>
    <mergeCell ref="K110:M110"/>
    <mergeCell ref="C57:H57"/>
    <mergeCell ref="I104:J104"/>
    <mergeCell ref="K104:M104"/>
    <mergeCell ref="K105:M105"/>
    <mergeCell ref="K106:M106"/>
    <mergeCell ref="I107:J107"/>
    <mergeCell ref="K107:M107"/>
    <mergeCell ref="I101:J101"/>
    <mergeCell ref="K101:M101"/>
    <mergeCell ref="I102:J102"/>
    <mergeCell ref="K102:M102"/>
    <mergeCell ref="I103:J103"/>
    <mergeCell ref="K103:M103"/>
    <mergeCell ref="I98:J98"/>
    <mergeCell ref="K98:M98"/>
    <mergeCell ref="I99:J99"/>
    <mergeCell ref="K99:M99"/>
    <mergeCell ref="I100:J100"/>
    <mergeCell ref="K100:M100"/>
    <mergeCell ref="I94:J94"/>
  </mergeCells>
  <phoneticPr fontId="6" type="noConversion"/>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9B15-9E15-49CF-BFCA-38B3EC7C2800}">
  <dimension ref="A1"/>
  <sheetViews>
    <sheetView workbookViewId="0"/>
  </sheetViews>
  <sheetFormatPr defaultRowHeight="14.4"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Rectangular Dam</vt:lpstr>
      <vt:lpstr>Trapezoidal Dams</vt:lpstr>
      <vt:lpstr>Ex 19.6</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Prajwal M</cp:lastModifiedBy>
  <cp:lastPrinted>2025-10-14T17:21:11Z</cp:lastPrinted>
  <dcterms:created xsi:type="dcterms:W3CDTF">2015-06-05T18:17:20Z</dcterms:created>
  <dcterms:modified xsi:type="dcterms:W3CDTF">2025-12-08T13:50:35Z</dcterms:modified>
</cp:coreProperties>
</file>